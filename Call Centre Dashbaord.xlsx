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mc:AlternateContent xmlns:mc="http://schemas.openxmlformats.org/markup-compatibility/2006">
    <mc:Choice Requires="x15">
      <x15ac:absPath xmlns:x15ac="http://schemas.microsoft.com/office/spreadsheetml/2010/11/ac" url="C:\Users\mehri\desktop\mehrin\"/>
    </mc:Choice>
  </mc:AlternateContent>
  <xr:revisionPtr revIDLastSave="0" documentId="13_ncr:1_{C012FE1E-829C-434A-A19C-FD7A1E26DE56}" xr6:coauthVersionLast="47" xr6:coauthVersionMax="47" xr10:uidLastSave="{00000000-0000-0000-0000-000000000000}"/>
  <bookViews>
    <workbookView xWindow="-108" yWindow="-108" windowWidth="23256" windowHeight="12456" activeTab="3" xr2:uid="{26D4546B-D2A1-4444-8EAF-A6228F96F0C1}"/>
  </bookViews>
  <sheets>
    <sheet name="pivots" sheetId="6" r:id="rId1"/>
    <sheet name="Data" sheetId="2" r:id="rId2"/>
    <sheet name="Call centre report" sheetId="5" r:id="rId3"/>
    <sheet name="Assets" sheetId="4" r:id="rId4"/>
  </sheets>
  <definedNames>
    <definedName name="_xlnm._FilterDatabase" localSheetId="1" hidden="1">Data!$B$3:$H$1003</definedName>
    <definedName name="_xlcn.WorksheetConnection_Copyof07.sampledataexcelportfolioproject.xlsxcalls1" hidden="1">calls[]</definedName>
    <definedName name="_xlcn.WorksheetConnection_Copyof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2" r:id="rId9"/>
    <pivotCache cacheId="45" r:id="rId10"/>
    <pivotCache cacheId="48" r:id="rId11"/>
    <pivotCache cacheId="51" r:id="rId12"/>
    <pivotCache cacheId="5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opy of 07.sample-data-excel-portfolio-project.xlsx!customers"/>
          <x15:modelTable id="calls" name="calls" connection="WorksheetConnection_Copy of 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6" l="1"/>
  <c r="H13" i="6" s="1"/>
  <c r="J17" i="6" s="1"/>
  <c r="O38" i="5" s="1"/>
  <c r="H9" i="6"/>
  <c r="H12" i="6" s="1"/>
  <c r="J16" i="6" s="1"/>
  <c r="O37" i="5" s="1"/>
  <c r="H8" i="6"/>
  <c r="J15" i="6" s="1"/>
  <c r="O36" i="5" s="1"/>
  <c r="T24" i="5" a="1"/>
  <c r="T24" i="5" s="1"/>
  <c r="U23" i="5" a="1"/>
  <c r="U23" i="5" s="1"/>
  <c r="I37" i="6"/>
  <c r="E41" i="6" a="1"/>
  <c r="E4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5" i="6" l="1"/>
  <c r="H45" i="6"/>
  <c r="H44" i="6"/>
  <c r="H42" i="6"/>
  <c r="H41" i="6"/>
  <c r="H43" i="6"/>
  <c r="I43" i="6"/>
  <c r="I44" i="6"/>
  <c r="I41" i="6"/>
  <c r="I4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00DE4A-CBC8-4C01-818C-B75065DC7F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B63BFE-48D6-4F77-AA75-01958374556F}" name="WorksheetConnection_Copy of 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Copyof07.sampledataexcelportfolioproject.xlsxcalls1"/>
        </x15:connection>
      </ext>
    </extLst>
  </connection>
  <connection id="3" xr16:uid="{C0600C56-06E9-487B-A734-4B0DC92F5E16}" name="WorksheetConnection_Copy of 07.sample-data-excel-portfolio-project.xlsx!customers" type="102" refreshedVersion="8" minRefreshableVersion="5">
    <extLst>
      <ext xmlns:x15="http://schemas.microsoft.com/office/spreadsheetml/2010/11/main" uri="{DE250136-89BD-433C-8126-D09CA5730AF9}">
        <x15:connection id="customers">
          <x15:rangePr sourceName="_xlcn.WorksheetConnection_Copyof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<sst xmlns="http://schemas.openxmlformats.org/spreadsheetml/2006/main" count="3169" uniqueCount="1085">
  <si>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</si>
  <si>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</si>
  <si>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</si>
  <si>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</si>
  <si>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</si>
  <si>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</si>
  <si>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</si>
  <si>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</si>
  <si>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</si>
  <si>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</si>
  <si>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</si>
  <si>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</si>
  <si>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</si>
  <si>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</si>
  <si>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</si>
  <si>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</si>
  <si>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</si>
  <si>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</si>
  <si>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</si>
  <si>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</si>
  <si>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</si>
  <si>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</si>
  <si>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</si>
  <si>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</si>
  <si>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</si>
  <si>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</si>
  <si>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</si>
  <si>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</si>
  <si>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</si>
  <si>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</si>
  <si>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</si>
  <si>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</si>
  <si>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</si>
  <si>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</si>
  <si>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</si>
  <si>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</si>
  <si>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</si>
  <si>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</si>
  <si>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</si>
  <si>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</si>
  <si>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</si>
  <si>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</si>
  <si>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</si>
  <si>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</si>
  <si>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</si>
  <si>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</si>
  <si>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</si>
  <si>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</si>
  <si>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</si>
  <si>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</si>
  <si>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</si>
  <si>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</si>
  <si>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</si>
  <si>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</si>
  <si>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</si>
  <si>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</si>
  <si>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</si>
  <si>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</si>
  <si>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</si>
  <si>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</si>
  <si>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</si>
  <si>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</si>
  <si>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</si>
  <si>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</si>
  <si>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</si>
  <si>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</si>
  <si>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</si>
  <si>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</si>
  <si>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</si>
  <si>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</si>
  <si>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</si>
  <si>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</si>
  <si>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</si>
  <si>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</si>
  <si>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</si>
  <si>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</si>
  <si>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</si>
  <si>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</si>
  <si>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</si>
  <si>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</si>
  <si>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</si>
  <si>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</si>
  <si>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</si>
  <si>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</si>
  <si>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</si>
  <si>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</si>
  <si>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</si>
  <si>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</si>
  <si>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</si>
  <si>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</si>
  <si>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</si>
  <si>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</si>
  <si>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</si>
  <si>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</si>
  <si>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</si>
  <si>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</si>
  <si>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</si>
  <si>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</si>
  <si>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</si>
  <si>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</si>
  <si>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</si>
  <si>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</si>
  <si>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</si>
  <si>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</si>
  <si>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</si>
  <si>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</si>
  <si>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</si>
  <si>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</si>
  <si>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</si>
  <si>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</si>
  <si>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</si>
  <si>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</si>
  <si>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</si>
  <si>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</si>
  <si>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</si>
  <si>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</si>
  <si>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</si>
  <si>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</si>
  <si>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</si>
  <si>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</si>
  <si>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</si>
  <si>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</si>
  <si>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</si>
  <si>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</si>
  <si>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</si>
  <si>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</si>
  <si>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</si>
  <si>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</si>
  <si>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</si>
  <si>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</si>
  <si>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</si>
  <si>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</si>
  <si>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</si>
  <si>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</si>
  <si>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</si>
  <si>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</si>
  <si>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</si>
  <si>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</si>
  <si>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</si>
  <si>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</si>
  <si>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</si>
  <si>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</si>
  <si>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</si>
  <si>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</si>
  <si>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</si>
  <si>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</si>
  <si>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</si>
  <si>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</si>
  <si>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</si>
  <si>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</si>
  <si>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</si>
  <si>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</si>
  <si>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</si>
  <si>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</si>
  <si>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</si>
  <si>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</si>
  <si>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</si>
  <si>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</si>
  <si>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</si>
  <si>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</si>
  <si>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</si>
  <si>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</si>
  <si>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</si>
  <si>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</si>
  <si>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</si>
  <si>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</si>
  <si>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</si>
  <si>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</si>
  <si>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</si>
  <si>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</si>
  <si>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</si>
  <si>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</si>
  <si>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</si>
  <si>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</si>
  <si>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</si>
  <si>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</si>
  <si>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</si>
  <si>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</si>
  <si>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</si>
  <si>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</si>
  <si>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</si>
  <si>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</si>
  <si>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</si>
  <si>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</si>
  <si>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</si>
  <si>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</si>
  <si>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</si>
  <si>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</si>
  <si>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</si>
  <si>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</si>
  <si>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</si>
  <si>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</si>
  <si>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</si>
  <si>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</si>
  <si>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</si>
  <si>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</si>
  <si>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</si>
  <si>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</si>
  <si>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</si>
  <si>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</si>
  <si>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</si>
  <si>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</si>
  <si>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</si>
  <si>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</si>
  <si>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</si>
  <si>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</si>
  <si>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</si>
  <si>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</si>
  <si>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</si>
  <si>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</si>
  <si>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</si>
  <si>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</si>
  <si>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</si>
  <si>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</si>
  <si>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</si>
  <si>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</si>
  <si>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</si>
  <si>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</si>
  <si>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</si>
  <si>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</si>
  <si>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</si>
  <si>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</si>
  <si>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</si>
  <si>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</si>
  <si>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</si>
  <si>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</si>
  <si>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</si>
  <si>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</si>
  <si>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</si>
  <si>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</si>
  <si>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</si>
  <si>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</si>
  <si>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</si>
  <si>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</si>
  <si>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</si>
  <si>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</si>
  <si>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</si>
  <si>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</si>
  <si>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</si>
  <si>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</si>
  <si>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</si>
  <si>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</si>
  <si>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</si>
  <si>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</si>
  <si>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</si>
  <si>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</si>
  <si>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</si>
  <si>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</si>
  <si>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</si>
  <si>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</si>
  <si>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</si>
  <si>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</si>
  <si>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</si>
  <si>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</si>
  <si>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</si>
  <si>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</si>
  <si>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</si>
  <si>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</si>
  <si>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</si>
  <si>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</si>
  <si>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</si>
  <si>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</si>
  <si>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</si>
  <si>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</si>
  <si>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</si>
  <si>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</si>
  <si>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</si>
  <si>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</si>
  <si>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</si>
  <si>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</si>
  <si>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</si>
  <si>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</si>
  <si>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</si>
  <si>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</si>
  <si>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</si>
  <si>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</si>
  <si>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</si>
  <si>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</si>
  <si>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</si>
  <si>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</si>
  <si>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</si>
  <si>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</si>
  <si>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</si>
  <si>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</si>
  <si>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</si>
  <si>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</si>
  <si>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</si>
  <si>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</si>
  <si>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</si>
  <si>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</si>
  <si>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</si>
  <si>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</si>
  <si>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</si>
  <si>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</si>
  <si>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</si>
  <si>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</si>
  <si>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</si>
  <si>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</si>
  <si>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</si>
  <si>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</si>
  <si>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</si>
  <si>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</si>
  <si>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</si>
  <si>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</si>
  <si>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</si>
  <si>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</si>
  <si>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</si>
  <si>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</si>
  <si>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</si>
  <si>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</si>
  <si>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</si>
  <si>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</si>
  <si>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</si>
  <si>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</si>
  <si>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</si>
  <si>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</si>
  <si>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</si>
  <si>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</si>
  <si>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</si>
  <si>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</si>
  <si>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</si>
  <si>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</si>
  <si>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</si>
  <si>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</si>
  <si>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</si>
  <si>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</si>
  <si>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</si>
  <si>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</si>
  <si>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</si>
  <si>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</si>
  <si>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</si>
  <si>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</si>
  <si>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</si>
  <si>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</si>
  <si>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</si>
  <si>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</si>
  <si>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</si>
  <si>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</si>
  <si>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</si>
  <si>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</si>
  <si>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</si>
  <si>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</si>
  <si>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</si>
  <si>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</si>
  <si>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</si>
  <si>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</si>
  <si>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</si>
  <si>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</si>
  <si>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</si>
  <si>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</si>
  <si>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</si>
  <si>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</si>
  <si>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</si>
  <si>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</si>
  <si>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</si>
  <si>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</si>
  <si>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</si>
  <si>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</si>
  <si>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</si>
  <si>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</si>
  <si>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</si>
  <si>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</si>
  <si>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</si>
  <si>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</si>
  <si>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</si>
  <si>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</si>
  <si>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</si>
  <si>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</si>
  <si>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</si>
  <si>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</si>
  <si>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</si>
  <si>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</si>
  <si>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</si>
  <si>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</si>
  <si>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</si>
  <si>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</si>
  <si>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</si>
  <si>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</si>
  <si>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</si>
  <si>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</si>
  <si>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</si>
  <si>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</si>
  <si>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</si>
  <si>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</si>
  <si>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</si>
  <si>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</si>
  <si>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</si>
  <si>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</si>
  <si>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</si>
  <si>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</si>
  <si>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</si>
  <si>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</si>
  <si>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</si>
  <si>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</si>
  <si>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</si>
  <si>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</si>
  <si>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</si>
  <si>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</si>
  <si>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</si>
  <si>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</si>
  <si>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</si>
  <si>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</si>
  <si>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</si>
  <si>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</si>
  <si>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</si>
  <si>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</si>
  <si>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</si>
  <si>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</si>
  <si>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</si>
  <si>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</si>
  <si>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</si>
  <si>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</si>
  <si>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</si>
  <si>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</si>
  <si>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</si>
  <si>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</si>
  <si>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</si>
  <si>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</si>
  <si>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</si>
  <si>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</si>
  <si>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</si>
  <si>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</si>
  <si>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</si>
  <si>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</si>
  <si>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</si>
  <si>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</si>
  <si>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</si>
  <si>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</si>
  <si>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</si>
  <si>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</si>
  <si>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</si>
  <si>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</si>
  <si>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</si>
  <si>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</si>
  <si>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</si>
  <si>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</si>
  <si>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</si>
  <si>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</si>
  <si>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</si>
  <si>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</si>
  <si>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</si>
  <si>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</si>
  <si>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</si>
  <si>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</si>
  <si>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</si>
  <si>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</si>
  <si>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</si>
  <si>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</si>
  <si>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</si>
  <si>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</si>
  <si>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</si>
  <si>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</si>
  <si>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</si>
  <si>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</si>
  <si>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</si>
  <si>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</si>
  <si>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</si>
  <si>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</si>
  <si>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</si>
  <si>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</si>
  <si>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</si>
  <si>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</si>
  <si>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</si>
  <si>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</si>
  <si>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</si>
  <si>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</si>
  <si>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</si>
  <si>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</si>
  <si>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</si>
  <si>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</si>
  <si>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</si>
  <si>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</si>
  <si>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</si>
  <si>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</si>
  <si>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</si>
  <si>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</si>
  <si>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</si>
  <si>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</si>
  <si>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</si>
  <si>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</si>
  <si>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</si>
  <si>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</si>
  <si>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</si>
  <si>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</si>
  <si>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</si>
  <si>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</si>
  <si>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</si>
  <si>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</si>
  <si>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</si>
  <si>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</si>
  <si>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</si>
  <si>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</si>
  <si>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</si>
  <si>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</si>
  <si>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</si>
  <si>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</si>
  <si>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</si>
  <si>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</si>
  <si>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</si>
  <si>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</si>
  <si>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</si>
  <si>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</si>
  <si>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</si>
  <si>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</si>
  <si>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</si>
  <si>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</si>
  <si>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</si>
  <si>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</si>
  <si>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</si>
  <si>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</si>
  <si>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</si>
  <si>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</si>
  <si>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</si>
  <si>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</si>
  <si>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</si>
  <si>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</si>
  <si>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</si>
  <si>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</si>
  <si>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</si>
  <si>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</si>
  <si>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</si>
  <si>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</si>
  <si>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</si>
  <si>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</si>
  <si>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</si>
  <si>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</si>
  <si>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</si>
  <si>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</si>
  <si>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</si>
  <si>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</si>
  <si>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</si>
  <si>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</si>
  <si>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</si>
  <si>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</si>
  <si>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</si>
  <si>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</si>
  <si>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</si>
  <si>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</si>
  <si>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</si>
  <si>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</si>
  <si>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</si>
  <si>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</si>
  <si>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</si>
  <si>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</si>
  <si>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</si>
  <si>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</si>
  <si>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</si>
  <si>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</si>
  <si>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</si>
  <si>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</si>
  <si>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</si>
  <si>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</si>
  <si>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</si>
  <si>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</si>
  <si>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</si>
  <si>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</si>
  <si>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</si>
  <si>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</si>
  <si>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</si>
  <si>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</si>
  <si>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</si>
  <si>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</si>
  <si>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</si>
  <si>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</si>
  <si>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</si>
  <si>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</si>
  <si>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</si>
  <si>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</si>
  <si>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</si>
  <si>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</si>
  <si>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</si>
  <si>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</si>
  <si>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</si>
  <si>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</si>
  <si>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</si>
  <si>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</si>
  <si>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</si>
  <si>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</si>
  <si>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</si>
  <si>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</si>
  <si>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</si>
  <si>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</si>
  <si>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</si>
  <si>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</si>
  <si>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</si>
  <si>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</si>
  <si>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</si>
  <si>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</si>
  <si>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</si>
  <si>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</si>
  <si>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</si>
  <si>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</si>
  <si>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</si>
  <si>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</si>
  <si>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</si>
  <si>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</si>
  <si>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</si>
  <si>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</si>
  <si>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</si>
  <si>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</si>
  <si>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</si>
  <si>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</si>
  <si>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</si>
  <si>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</si>
  <si>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</si>
  <si>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</si>
  <si>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</si>
  <si>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</si>
  <si>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</si>
  <si>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</si>
  <si>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</si>
  <si>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</si>
  <si>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</si>
  <si>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</si>
  <si>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</si>
  <si>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</si>
  <si>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</si>
  <si>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</si>
  <si>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</si>
  <si>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</si>
  <si>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</si>
  <si>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</si>
  <si>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</si>
  <si>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</si>
  <si>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</si>
  <si>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</si>
  <si>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</si>
  <si>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</si>
  <si>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</si>
  <si>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</si>
  <si>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</si>
  <si>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</si>
  <si>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</si>
  <si>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</si>
  <si>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</si>
  <si>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</si>
  <si>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</si>
  <si>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</si>
  <si>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</si>
  <si>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</si>
  <si>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</si>
  <si>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</si>
  <si>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</si>
  <si>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</si>
  <si>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</si>
  <si>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</si>
  <si>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</si>
  <si>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</si>
  <si>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</si>
  <si>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</si>
  <si>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</si>
  <si>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</si>
  <si>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</si>
  <si>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</si>
  <si>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</si>
  <si>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</si>
  <si>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</si>
  <si>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</si>
  <si>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</si>
  <si>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</si>
  <si>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</si>
  <si>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</si>
  <si>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</si>
  <si>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</si>
  <si>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</si>
  <si>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</si>
  <si>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</si>
  <si>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</si>
  <si>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</si>
  <si>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</si>
  <si>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</si>
  <si>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</si>
  <si>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</si>
  <si>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</si>
  <si>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</si>
  <si>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</si>
  <si>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</si>
  <si>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</si>
  <si>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</si>
  <si>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</si>
  <si>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</si>
  <si>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</si>
  <si>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</si>
  <si>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</si>
  <si>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</si>
  <si>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</si>
  <si>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</si>
  <si>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</si>
  <si>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</si>
  <si>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</si>
  <si>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</si>
  <si>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</si>
  <si>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</si>
  <si>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</si>
  <si>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</si>
  <si>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</si>
  <si>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</si>
  <si>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</si>
  <si>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</si>
  <si>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</si>
  <si>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</si>
  <si>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</si>
  <si>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</si>
  <si>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</si>
  <si>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</si>
  <si>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</si>
  <si>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</si>
  <si>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</si>
  <si>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</si>
  <si>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</si>
  <si>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</si>
  <si>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</si>
  <si>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</si>
  <si>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</si>
  <si>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</si>
  <si>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</si>
  <si>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</si>
  <si>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</si>
  <si>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</si>
  <si>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</si>
  <si>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</si>
  <si>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</si>
  <si>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</si>
  <si>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</si>
  <si>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</si>
  <si>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</si>
  <si>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</si>
  <si>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</si>
  <si>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</si>
  <si>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</si>
  <si>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</si>
  <si>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</si>
  <si>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</si>
  <si>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</si>
  <si>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</si>
  <si>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</si>
  <si>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</si>
  <si>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</si>
  <si>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</si>
  <si>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</si>
  <si>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</si>
  <si>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</si>
  <si>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</si>
  <si>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</si>
  <si>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</si>
  <si>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</si>
  <si>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</si>
  <si>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</si>
  <si>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</si>
  <si>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</si>
  <si>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</si>
  <si>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</si>
  <si>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</si>
  <si>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</si>
  <si>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</si>
  <si>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</si>
  <si>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</si>
  <si>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</si>
  <si>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</si>
  <si>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</si>
  <si>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</si>
  <si>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</si>
  <si>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</si>
  <si>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</si>
  <si>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</si>
  <si>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</si>
  <si>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</si>
  <si>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</si>
  <si>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</si>
  <si>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</si>
  <si>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</si>
  <si>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</si>
  <si>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</si>
  <si>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</si>
  <si>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</si>
  <si>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</si>
  <si>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</si>
  <si>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</si>
  <si>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</si>
  <si>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</si>
  <si>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</si>
  <si>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</si>
  <si>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</si>
  <si>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</si>
  <si>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</si>
  <si>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</si>
  <si>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</si>
  <si>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</si>
  <si>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</si>
  <si>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</si>
  <si>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</si>
  <si>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</si>
  <si>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</si>
  <si>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</si>
  <si>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</si>
  <si>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</si>
  <si>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</si>
  <si>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</si>
  <si>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</si>
  <si>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</si>
  <si>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</si>
  <si>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</si>
  <si>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</si>
  <si>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</si>
  <si>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</si>
  <si>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</si>
  <si>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</si>
  <si>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</si>
  <si>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</si>
  <si>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</si>
  <si>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</si>
  <si>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</si>
  <si>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</si>
  <si>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</si>
  <si>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</si>
  <si>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</si>
  <si>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</si>
  <si>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</si>
  <si>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</si>
  <si>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</si>
  <si>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</si>
  <si>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</si>
  <si>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</si>
  <si>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</si>
  <si>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</si>
  <si>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</si>
  <si>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</si>
  <si>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</si>
  <si>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</si>
  <si>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</si>
  <si>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</si>
  <si>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</si>
  <si>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</si>
  <si>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</si>
  <si>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</si>
  <si>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</si>
  <si>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</si>
  <si>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</si>
  <si>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</si>
  <si>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</si>
  <si>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</si>
  <si>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</si>
  <si>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</si>
  <si>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</si>
  <si>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</si>
  <si>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</si>
  <si>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</si>
  <si>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</si>
  <si>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</si>
  <si>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</si>
  <si>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</si>
  <si>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</si>
  <si>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</si>
  <si>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</si>
  <si>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</si>
  <si>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</si>
  <si>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</si>
  <si>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</si>
  <si>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</si>
  <si>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</si>
  <si>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</si>
  <si>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</si>
  <si>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</si>
  <si>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</si>
  <si>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</si>
  <si>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</si>
  <si>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</si>
  <si>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</si>
  <si>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</si>
  <si>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</si>
  <si>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</si>
  <si>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</si>
  <si>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</si>
  <si>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</si>
  <si>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</si>
  <si>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</si>
  <si>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</si>
  <si>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</si>
  <si>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</si>
  <si>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</si>
  <si>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</si>
  <si>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</si>
  <si>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</si>
  <si>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</si>
  <si>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</si>
  <si>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</si>
  <si>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</si>
  <si>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</si>
  <si>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</si>
  <si>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</si>
  <si>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</si>
  <si>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</si>
  <si>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</si>
  <si>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</si>
  <si>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</si>
  <si>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</si>
  <si>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</si>
  <si>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</si>
  <si>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</si>
  <si>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</si>
  <si>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</si>
  <si>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</si>
  <si>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</si>
  <si>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</si>
  <si>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</si>
  <si>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</si>
  <si>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</si>
  <si>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</si>
  <si>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</si>
  <si>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</si>
  <si>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</si>
  <si>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</si>
  <si>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</si>
  <si>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</si>
  <si>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</si>
  <si>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</si>
  <si>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</si>
  <si>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</si>
  <si>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</si>
  <si>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</si>
  <si>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</si>
  <si>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</si>
  <si>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</si>
  <si>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</si>
  <si>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</si>
  <si>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</si>
  <si>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</si>
  <si>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</si>
  <si>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</si>
  <si>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</si>
  <si>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</si>
  <si>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</si>
  <si>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</si>
  <si>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</si>
  <si>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</si>
  <si>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</si>
  <si>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</si>
  <si>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</si>
  <si>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</si>
  <si>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</si>
  <si>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</si>
  <si>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</si>
  <si>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</si>
  <si>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</si>
  <si>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</si>
  <si>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</si>
  <si>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</si>
  <si>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</si>
  <si>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</si>
  <si>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</si>
  <si>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</si>
  <si>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</si>
  <si>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</si>
  <si>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</si>
  <si>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</si>
  <si>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</si>
  <si>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</si>
  <si>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</si>
  <si>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</si>
  <si>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</si>
  <si>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</si>
  <si>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</si>
  <si>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</si>
  <si>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</si>
  <si>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</si>
  <si>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</si>
  <si>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</si>
  <si>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</si>
  <si>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</si>
  <si>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</si>
  <si>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</si>
  <si>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</si>
  <si>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</si>
  <si>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</si>
  <si>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</si>
  <si>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</si>
  <si>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</si>
  <si>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</si>
  <si>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</si>
  <si>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</si>
  <si>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</si>
  <si>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</si>
  <si>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</si>
  <si>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</si>
  <si>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</si>
  <si>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</si>
  <si>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</si>
  <si>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</si>
  <si>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</si>
  <si>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</si>
  <si>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</si>
  <si>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</si>
  <si>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</si>
  <si>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</si>
  <si>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</si>
  <si>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</si>
  <si>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</si>
  <si>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</si>
  <si>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</si>
  <si>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</si>
  <si>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</si>
  <si>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</si>
  <si>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</si>
  <si>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</si>
  <si>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</si>
  <si>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</si>
  <si>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</si>
  <si>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</si>
  <si>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</si>
  <si>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</si>
  <si>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</si>
  <si>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</si>
  <si>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</si>
  <si>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</si>
  <si>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</si>
  <si>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</si>
  <si>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</si>
  <si>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</si>
  <si>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</si>
  <si>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</si>
  <si>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</si>
  <si>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</si>
  <si>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</si>
  <si>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</si>
  <si>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</si>
  <si>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</si>
  <si>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</si>
  <si>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</si>
  <si>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</si>
  <si>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</si>
  <si>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</si>
  <si>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</si>
  <si>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</si>
  <si>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</si>
  <si>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</si>
  <si>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</si>
  <si>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</si>
  <si>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</si>
  <si>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</si>
  <si>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</si>
  <si>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</si>
  <si>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</si>
  <si>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</si>
  <si>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</si>
  <si>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</si>
  <si>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</si>
  <si>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</si>
  <si>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</si>
  <si>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</si>
  <si>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</si>
  <si>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</si>
  <si>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</si>
  <si>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</si>
  <si>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</si>
  <si>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</si>
  <si>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</si>
  <si>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</si>
  <si>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</si>
  <si>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</si>
  <si>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</si>
  <si>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</si>
  <si>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</si>
  <si>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</si>
  <si>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</si>
  <si>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</si>
  <si>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</si>
  <si>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</si>
  <si>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</si>
  <si>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</si>
  <si>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graphs of reps</t>
  </si>
  <si>
    <t>Reps</t>
  </si>
  <si>
    <t>Calls</t>
  </si>
  <si>
    <t>Amt</t>
  </si>
  <si>
    <t>Selectd calls</t>
  </si>
  <si>
    <t>selctd vals</t>
  </si>
  <si>
    <t>Selected reps</t>
  </si>
  <si>
    <t>Column Labels</t>
  </si>
  <si>
    <t>Rep summary</t>
  </si>
  <si>
    <t xml:space="preserve"> % of calls</t>
  </si>
  <si>
    <t>calls rank</t>
  </si>
  <si>
    <t>calls</t>
  </si>
  <si>
    <t>amt</t>
  </si>
  <si>
    <t>amt rank</t>
  </si>
  <si>
    <t>labels:</t>
  </si>
  <si>
    <t>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</si>
</sst>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1009]#,##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4"/>
      <color theme="1"/>
      <name val="Aptos"/>
      <family val="2"/>
      <scheme val="minor"/>
    </font>
    <font>
      <sz val="11"/>
      <color theme="1"/>
      <name val="Aptos"/>
      <family val="2"/>
      <scheme val="minor"/>
    </font>
    <font>
      <sz val="18"/>
      <color theme="1"/>
      <name val="Aptos ExtraBold"/>
      <family val="2"/>
      <scheme val="major"/>
    </font>
    <font>
      <sz val="18"/>
      <color theme="1"/>
      <name val="Aptos"/>
      <family val="2"/>
      <scheme val="minor"/>
    </font>
    <font>
      <sz val="24"/>
      <color theme="1"/>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2">
    <xf numFmtId="0" fontId="0" fillId="0" borderId="0"/>
    <xf numFmtId="9" fontId="5" fillId="0" borderId="0" applyFont="0" applyFill="0" applyBorder="0" applyAlignment="0" applyProtection="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9" fontId="0" fillId="4" borderId="1" xfId="0" applyNumberFormat="1" applyFill="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left" indent="1"/>
    </xf>
    <xf numFmtId="0" fontId="4" fillId="5" borderId="10" xfId="0" applyFont="1" applyFill="1" applyBorder="1"/>
    <xf numFmtId="0" fontId="4" fillId="5" borderId="11" xfId="0" applyFont="1" applyFill="1" applyBorder="1"/>
    <xf numFmtId="0" fontId="4" fillId="5" borderId="12" xfId="0" applyFont="1" applyFill="1" applyBorder="1"/>
    <xf numFmtId="0" fontId="4" fillId="5" borderId="13" xfId="0" applyFont="1" applyFill="1" applyBorder="1"/>
    <xf numFmtId="0" fontId="4" fillId="5" borderId="0" xfId="0" applyFont="1" applyFill="1"/>
    <xf numFmtId="0" fontId="4" fillId="5" borderId="14" xfId="0" applyFont="1" applyFill="1" applyBorder="1"/>
    <xf numFmtId="0" fontId="4" fillId="5" borderId="13" xfId="0" applyFont="1" applyFill="1" applyBorder="1" applyAlignment="1">
      <alignment horizontal="left" indent="1"/>
    </xf>
    <xf numFmtId="168" fontId="4" fillId="5" borderId="0" xfId="0" applyNumberFormat="1" applyFont="1" applyFill="1"/>
    <xf numFmtId="168" fontId="4" fillId="5" borderId="14" xfId="0" applyNumberFormat="1" applyFont="1" applyFill="1" applyBorder="1"/>
    <xf numFmtId="0" fontId="4" fillId="5" borderId="15" xfId="0" applyFont="1" applyFill="1" applyBorder="1" applyAlignment="1">
      <alignment horizontal="left" indent="1"/>
    </xf>
    <xf numFmtId="168" fontId="4" fillId="5" borderId="16" xfId="0" applyNumberFormat="1" applyFont="1" applyFill="1" applyBorder="1"/>
    <xf numFmtId="168" fontId="4" fillId="5" borderId="17" xfId="0" applyNumberFormat="1" applyFont="1" applyFill="1" applyBorder="1"/>
    <xf numFmtId="9" fontId="0" fillId="0" borderId="0" xfId="1" applyFont="1"/>
    <xf numFmtId="0" fontId="6" fillId="3" borderId="0" xfId="0" applyFont="1" applyFill="1"/>
    <xf numFmtId="0" fontId="7" fillId="3" borderId="0" xfId="0" applyFont="1" applyFill="1"/>
    <xf numFmtId="0" fontId="8" fillId="3" borderId="0" xfId="0" applyFont="1" applyFill="1"/>
  </cellXfs>
  <cellStyles count="2">
    <cellStyle name="Normal" xfId="0" builtinId="0"/>
    <cellStyle name="Percent" xfId="1" builtinId="5"/>
  </cellStyles>
  <dxfs count="16">
    <dxf>
      <fill>
        <patternFill>
          <bgColor rgb="FFFFDF79"/>
        </patternFill>
      </fill>
      <border>
        <left style="thin">
          <color theme="2" tint="-0.24994659260841701"/>
        </left>
        <right style="thin">
          <color theme="2"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5"/>
    </tableStyle>
    <tableStyle name="Slicer Style 2" pivot="0" table="0" count="3" xr9:uid="{C7F5CF24-B9D4-4BA3-A2BE-016775411A45}"/>
  </tableStyles>
  <colors>
    <mruColors>
      <color rgb="FFFFDF79"/>
      <color rgb="FFFFCC00"/>
      <color rgb="FFFCEC8C"/>
      <color rgb="FFFF6600"/>
    </mruColors>
  </colors>
  <extLst>
    <ext xmlns:x14="http://schemas.microsoft.com/office/spreadsheetml/2009/9/main" uri="{46F421CA-312F-682f-3DD2-61675219B42D}">
      <x14:dxfs count="2">
        <dxf>
          <font>
            <name val="Aptos ExtraBold"/>
            <family val="2"/>
            <scheme val="major"/>
          </font>
          <fill>
            <patternFill>
              <bgColor rgb="FFFFC000"/>
            </patternFill>
          </fill>
        </dxf>
        <dxf>
          <font>
            <name val="Aptos ExtraBold"/>
            <family val="2"/>
            <scheme val="major"/>
          </font>
          <fill>
            <patternFill>
              <bgColor theme="2" tint="-9.9948118533890809E-2"/>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07.sample-data-excel-portfolio-project.xlsx]pivots!Weekly trend</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97044493707775"/>
          <c:y val="5.5698780360743327E-2"/>
          <c:w val="0.6729336750110072"/>
          <c:h val="0.88860279840615086"/>
        </c:manualLayout>
      </c:layout>
      <c:barChart>
        <c:barDir val="bar"/>
        <c:grouping val="clustered"/>
        <c:varyColors val="0"/>
        <c:ser>
          <c:idx val="0"/>
          <c:order val="0"/>
          <c:tx>
            <c:strRef>
              <c:f>pivots!$G$19</c:f>
              <c:strCache>
                <c:ptCount val="1"/>
                <c:pt idx="0">
                  <c:v>Total</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pivots!$F$20:$F$27</c:f>
              <c:strCache>
                <c:ptCount val="7"/>
                <c:pt idx="0">
                  <c:v>Sunday</c:v>
                </c:pt>
                <c:pt idx="1">
                  <c:v>Monday</c:v>
                </c:pt>
                <c:pt idx="2">
                  <c:v>Tuesday</c:v>
                </c:pt>
                <c:pt idx="3">
                  <c:v>Wednesday</c:v>
                </c:pt>
                <c:pt idx="4">
                  <c:v>Thursday</c:v>
                </c:pt>
                <c:pt idx="5">
                  <c:v>Friday</c:v>
                </c:pt>
                <c:pt idx="6">
                  <c:v>Saturday</c:v>
                </c:pt>
              </c:strCache>
            </c:strRef>
          </c:cat>
          <c:val>
            <c:numRef>
              <c:f>pivots!$G$20:$G$27</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0010-4831-BFD5-2294ED0BA6CE}"/>
            </c:ext>
          </c:extLst>
        </c:ser>
        <c:dLbls>
          <c:dLblPos val="outEnd"/>
          <c:showLegendKey val="0"/>
          <c:showVal val="1"/>
          <c:showCatName val="0"/>
          <c:showSerName val="0"/>
          <c:showPercent val="0"/>
          <c:showBubbleSize val="0"/>
        </c:dLbls>
        <c:gapWidth val="25"/>
        <c:axId val="1982796976"/>
        <c:axId val="1982794576"/>
      </c:barChart>
      <c:catAx>
        <c:axId val="1982796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82794576"/>
        <c:crosses val="autoZero"/>
        <c:auto val="1"/>
        <c:lblAlgn val="ctr"/>
        <c:lblOffset val="100"/>
        <c:noMultiLvlLbl val="0"/>
      </c:catAx>
      <c:valAx>
        <c:axId val="1982794576"/>
        <c:scaling>
          <c:orientation val="minMax"/>
        </c:scaling>
        <c:delete val="1"/>
        <c:axPos val="b"/>
        <c:numFmt formatCode="#,##0" sourceLinked="1"/>
        <c:majorTickMark val="out"/>
        <c:minorTickMark val="none"/>
        <c:tickLblPos val="nextTo"/>
        <c:crossAx val="198279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07.sample-data-excel-portfolio-project.xlsx]pivots!Monthly trend</c:name>
    <c:fmtId val="8"/>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j-lt"/>
                <a:ea typeface="+mn-ea"/>
                <a:cs typeface="+mn-cs"/>
              </a:defRPr>
            </a:pPr>
            <a:r>
              <a:rPr lang="en-IN" sz="2200">
                <a:solidFill>
                  <a:srgbClr val="FF6600"/>
                </a:solidFill>
                <a:latin typeface="+mj-lt"/>
              </a:rPr>
              <a:t>Call</a:t>
            </a:r>
            <a:r>
              <a:rPr lang="en-IN" sz="2200" baseline="0">
                <a:latin typeface="+mj-lt"/>
              </a:rPr>
              <a:t> </a:t>
            </a:r>
            <a:r>
              <a:rPr lang="en-IN" sz="2200" baseline="0">
                <a:solidFill>
                  <a:srgbClr val="FF6600"/>
                </a:solidFill>
                <a:latin typeface="+mj-lt"/>
              </a:rPr>
              <a:t>Trend</a:t>
            </a:r>
            <a:endParaRPr lang="en-IN" sz="2200">
              <a:solidFill>
                <a:srgbClr val="FF6600"/>
              </a:solidFill>
              <a:latin typeface="+mj-lt"/>
            </a:endParaRPr>
          </a:p>
        </c:rich>
      </c:tx>
      <c:layout>
        <c:manualLayout>
          <c:xMode val="edge"/>
          <c:yMode val="edge"/>
          <c:x val="2.4813469982051511E-2"/>
          <c:y val="3.2002627063758969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j-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CEC8C">
                  <a:alpha val="50000"/>
                </a:srgbClr>
              </a:gs>
              <a:gs pos="100000">
                <a:srgbClr val="FFC00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7"/>
          <c:spPr>
            <a:solidFill>
              <a:schemeClr val="bg1">
                <a:lumMod val="95000"/>
              </a:schemeClr>
            </a:solidFill>
            <a:ln w="254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pivots!$C$22</c:f>
              <c:strCache>
                <c:ptCount val="1"/>
                <c:pt idx="0">
                  <c:v>Call Count2</c:v>
                </c:pt>
              </c:strCache>
            </c:strRef>
          </c:tx>
          <c:spPr>
            <a:gradFill flip="none" rotWithShape="1">
              <a:gsLst>
                <a:gs pos="0">
                  <a:srgbClr val="FCEC8C">
                    <a:alpha val="50000"/>
                  </a:srgbClr>
                </a:gs>
                <a:gs pos="100000">
                  <a:srgbClr val="FFC000"/>
                </a:gs>
              </a:gsLst>
              <a:lin ang="16200000" scaled="1"/>
              <a:tileRect/>
            </a:gradFill>
            <a:ln>
              <a:noFill/>
            </a:ln>
            <a:effectLst/>
          </c:spP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pivots!$C$23:$C$35</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E32F-4D48-96B9-0DD09E62C80D}"/>
            </c:ext>
          </c:extLst>
        </c:ser>
        <c:dLbls>
          <c:showLegendKey val="0"/>
          <c:showVal val="0"/>
          <c:showCatName val="0"/>
          <c:showSerName val="0"/>
          <c:showPercent val="0"/>
          <c:showBubbleSize val="0"/>
        </c:dLbls>
        <c:axId val="1982764336"/>
        <c:axId val="1982764816"/>
      </c:areaChart>
      <c:lineChart>
        <c:grouping val="standard"/>
        <c:varyColors val="0"/>
        <c:ser>
          <c:idx val="0"/>
          <c:order val="0"/>
          <c:tx>
            <c:strRef>
              <c:f>pivots!$B$22</c:f>
              <c:strCache>
                <c:ptCount val="1"/>
                <c:pt idx="0">
                  <c:v>Call Count</c:v>
                </c:pt>
              </c:strCache>
            </c:strRef>
          </c:tx>
          <c:spPr>
            <a:ln w="28575" cap="rnd">
              <a:solidFill>
                <a:srgbClr val="FFC000"/>
              </a:solidFill>
              <a:round/>
            </a:ln>
            <a:effectLst/>
          </c:spPr>
          <c:marker>
            <c:symbol val="circle"/>
            <c:size val="7"/>
            <c:spPr>
              <a:solidFill>
                <a:schemeClr val="bg1">
                  <a:lumMod val="95000"/>
                </a:schemeClr>
              </a:solidFill>
              <a:ln w="25400">
                <a:solidFill>
                  <a:schemeClr val="tx1">
                    <a:lumMod val="65000"/>
                    <a:lumOff val="35000"/>
                  </a:schemeClr>
                </a:solidFill>
              </a:ln>
              <a:effectLst/>
            </c:spPr>
          </c:marke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E32F-4D48-96B9-0DD09E62C80D}"/>
            </c:ext>
          </c:extLst>
        </c:ser>
        <c:dLbls>
          <c:showLegendKey val="0"/>
          <c:showVal val="0"/>
          <c:showCatName val="0"/>
          <c:showSerName val="0"/>
          <c:showPercent val="0"/>
          <c:showBubbleSize val="0"/>
        </c:dLbls>
        <c:marker val="1"/>
        <c:smooth val="0"/>
        <c:axId val="1982764336"/>
        <c:axId val="1982764816"/>
      </c:lineChart>
      <c:catAx>
        <c:axId val="198276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64816"/>
        <c:crosses val="autoZero"/>
        <c:auto val="1"/>
        <c:lblAlgn val="ctr"/>
        <c:lblOffset val="100"/>
        <c:noMultiLvlLbl val="0"/>
      </c:catAx>
      <c:valAx>
        <c:axId val="1982764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6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rgbClr val="FFC000"/>
                </a:solidFill>
                <a:latin typeface="+mj-lt"/>
              </a:rPr>
              <a:t>Calls</a:t>
            </a:r>
          </a:p>
        </c:rich>
      </c:tx>
      <c:layout>
        <c:manualLayout>
          <c:xMode val="edge"/>
          <c:yMode val="edge"/>
          <c:x val="6.5277368887737927E-2"/>
          <c:y val="1.56759352176548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pivots!$E$41:$E$45</c:f>
              <c:strCache>
                <c:ptCount val="5"/>
                <c:pt idx="0">
                  <c:v>R01</c:v>
                </c:pt>
                <c:pt idx="1">
                  <c:v>R02</c:v>
                </c:pt>
                <c:pt idx="2">
                  <c:v>R03</c:v>
                </c:pt>
                <c:pt idx="3">
                  <c:v>R04</c:v>
                </c:pt>
                <c:pt idx="4">
                  <c:v>R05</c:v>
                </c:pt>
              </c:strCache>
            </c:strRef>
          </c:cat>
          <c:val>
            <c:numRef>
              <c:f>pivots!$F$41:$F$45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B31-46FB-8677-5C90592F7788}"/>
            </c:ext>
          </c:extLst>
        </c:ser>
        <c:ser>
          <c:idx val="1"/>
          <c:order val="1"/>
          <c:tx>
            <c:strRef>
              <c:f>pivots!$H$40</c:f>
              <c:strCache>
                <c:ptCount val="1"/>
                <c:pt idx="0">
                  <c:v>Selectd calls</c:v>
                </c:pt>
              </c:strCache>
            </c:strRef>
          </c:tx>
          <c:spPr>
            <a:gradFill flip="none" rotWithShape="1">
              <a:gsLst>
                <a:gs pos="0">
                  <a:srgbClr val="FFCC00"/>
                </a:gs>
                <a:gs pos="100000">
                  <a:srgbClr val="FF6600"/>
                </a:gs>
              </a:gsLst>
              <a:lin ang="0" scaled="1"/>
              <a:tileRect/>
            </a:gradFill>
            <a:ln>
              <a:noFill/>
            </a:ln>
            <a:effectLst/>
          </c:spPr>
          <c:invertIfNegative val="0"/>
          <c:val>
            <c:numRef>
              <c:f>pivots!$H$41:$H$45</c:f>
              <c:numCache>
                <c:formatCode>General</c:formatCode>
                <c:ptCount val="5"/>
                <c:pt idx="0">
                  <c:v>#N/A</c:v>
                </c:pt>
                <c:pt idx="1">
                  <c:v>#N/A</c:v>
                </c:pt>
                <c:pt idx="2">
                  <c:v>189</c:v>
                </c:pt>
                <c:pt idx="3">
                  <c:v>#N/A</c:v>
                </c:pt>
                <c:pt idx="4">
                  <c:v>#N/A</c:v>
                </c:pt>
              </c:numCache>
            </c:numRef>
          </c:val>
          <c:extLst>
            <c:ext xmlns:c16="http://schemas.microsoft.com/office/drawing/2014/chart" uri="{C3380CC4-5D6E-409C-BE32-E72D297353CC}">
              <c16:uniqueId val="{00000001-1B31-46FB-8677-5C90592F7788}"/>
            </c:ext>
          </c:extLst>
        </c:ser>
        <c:dLbls>
          <c:showLegendKey val="0"/>
          <c:showVal val="0"/>
          <c:showCatName val="0"/>
          <c:showSerName val="0"/>
          <c:showPercent val="0"/>
          <c:showBubbleSize val="0"/>
        </c:dLbls>
        <c:gapWidth val="25"/>
        <c:overlap val="100"/>
        <c:axId val="1982790736"/>
        <c:axId val="1982777776"/>
      </c:barChart>
      <c:catAx>
        <c:axId val="19827907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77776"/>
        <c:crosses val="autoZero"/>
        <c:auto val="1"/>
        <c:lblAlgn val="ctr"/>
        <c:lblOffset val="100"/>
        <c:noMultiLvlLbl val="0"/>
      </c:catAx>
      <c:valAx>
        <c:axId val="1982777776"/>
        <c:scaling>
          <c:orientation val="minMax"/>
          <c:min val="0"/>
        </c:scaling>
        <c:delete val="1"/>
        <c:axPos val="t"/>
        <c:numFmt formatCode="General" sourceLinked="1"/>
        <c:majorTickMark val="none"/>
        <c:minorTickMark val="none"/>
        <c:tickLblPos val="nextTo"/>
        <c:crossAx val="198279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07.sample-data-excel-portfolio-project.xlsx]pivots!PivotTable6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CC00"/>
                </a:solidFill>
              </a:rPr>
              <a:t>Female</a:t>
            </a:r>
            <a:r>
              <a:rPr lang="en-IN"/>
              <a:t> vs </a:t>
            </a:r>
            <a:r>
              <a:rPr lang="en-IN">
                <a:solidFill>
                  <a:schemeClr val="accent3">
                    <a:lumMod val="75000"/>
                  </a:schemeClr>
                </a:solidFill>
                <a:latin typeface="+mj-lt"/>
              </a:rPr>
              <a:t>Male</a:t>
            </a:r>
            <a:r>
              <a:rPr lang="en-IN" baseline="0"/>
              <a:t> Callers</a:t>
            </a:r>
            <a:endParaRPr lang="en-IN"/>
          </a:p>
        </c:rich>
      </c:tx>
      <c:layout>
        <c:manualLayout>
          <c:xMode val="edge"/>
          <c:yMode val="edge"/>
          <c:x val="0.2369315414907090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65000"/>
                      <a:lumOff val="3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pivots!$B$60:$B$61</c:f>
              <c:strCache>
                <c:ptCount val="1"/>
                <c:pt idx="0">
                  <c:v>Female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65000"/>
                        <a:lumOff val="3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pivots!$B$62:$B$65</c:f>
              <c:numCache>
                <c:formatCode>#,##0</c:formatCode>
                <c:ptCount val="3"/>
                <c:pt idx="0">
                  <c:v>144</c:v>
                </c:pt>
                <c:pt idx="1">
                  <c:v>326</c:v>
                </c:pt>
                <c:pt idx="2">
                  <c:v>129</c:v>
                </c:pt>
              </c:numCache>
            </c:numRef>
          </c:val>
          <c:extLst>
            <c:ext xmlns:c16="http://schemas.microsoft.com/office/drawing/2014/chart" uri="{C3380CC4-5D6E-409C-BE32-E72D297353CC}">
              <c16:uniqueId val="{00000000-B159-42AA-AC0B-259845CB1B7B}"/>
            </c:ext>
          </c:extLst>
        </c:ser>
        <c:ser>
          <c:idx val="1"/>
          <c:order val="1"/>
          <c:tx>
            <c:strRef>
              <c:f>pivots!$C$60:$C$61</c:f>
              <c:strCache>
                <c:ptCount val="1"/>
                <c:pt idx="0">
                  <c:v>Male</c:v>
                </c:pt>
              </c:strCache>
            </c:strRef>
          </c:tx>
          <c:spPr>
            <a:solidFill>
              <a:schemeClr val="accent3">
                <a:lumMod val="75000"/>
              </a:schemeClr>
            </a:solidFill>
            <a:ln>
              <a:noFill/>
            </a:ln>
            <a:effectLst/>
          </c:spPr>
          <c:invertIfNegative val="0"/>
          <c:cat>
            <c:strRef>
              <c:f>pivots!$A$62:$A$65</c:f>
              <c:strCache>
                <c:ptCount val="3"/>
                <c:pt idx="0">
                  <c:v>Cincinnati</c:v>
                </c:pt>
                <c:pt idx="1">
                  <c:v>Cleveland</c:v>
                </c:pt>
                <c:pt idx="2">
                  <c:v>Columbus</c:v>
                </c:pt>
              </c:strCache>
            </c:strRef>
          </c:cat>
          <c:val>
            <c:numRef>
              <c:f>pivots!$C$62:$C$65</c:f>
              <c:numCache>
                <c:formatCode>#,##0</c:formatCode>
                <c:ptCount val="3"/>
                <c:pt idx="0">
                  <c:v>132</c:v>
                </c:pt>
                <c:pt idx="1">
                  <c:v>63</c:v>
                </c:pt>
                <c:pt idx="2">
                  <c:v>206</c:v>
                </c:pt>
              </c:numCache>
            </c:numRef>
          </c:val>
          <c:extLst>
            <c:ext xmlns:c16="http://schemas.microsoft.com/office/drawing/2014/chart" uri="{C3380CC4-5D6E-409C-BE32-E72D297353CC}">
              <c16:uniqueId val="{00000001-B159-42AA-AC0B-259845CB1B7B}"/>
            </c:ext>
          </c:extLst>
        </c:ser>
        <c:dLbls>
          <c:showLegendKey val="0"/>
          <c:showVal val="0"/>
          <c:showCatName val="0"/>
          <c:showSerName val="0"/>
          <c:showPercent val="0"/>
          <c:showBubbleSize val="0"/>
        </c:dLbls>
        <c:gapWidth val="25"/>
        <c:overlap val="100"/>
        <c:axId val="1995185952"/>
        <c:axId val="1995187872"/>
      </c:barChart>
      <c:catAx>
        <c:axId val="199518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87872"/>
        <c:crosses val="autoZero"/>
        <c:auto val="1"/>
        <c:lblAlgn val="ctr"/>
        <c:lblOffset val="100"/>
        <c:noMultiLvlLbl val="0"/>
      </c:catAx>
      <c:valAx>
        <c:axId val="1995187872"/>
        <c:scaling>
          <c:orientation val="minMax"/>
        </c:scaling>
        <c:delete val="1"/>
        <c:axPos val="l"/>
        <c:numFmt formatCode="0%" sourceLinked="1"/>
        <c:majorTickMark val="none"/>
        <c:minorTickMark val="none"/>
        <c:tickLblPos val="nextTo"/>
        <c:crossAx val="199518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07.sample-data-excel-portfolio-project.xlsx]pivots!rep satisfaction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pivots!$B$68</c:f>
              <c:strCache>
                <c:ptCount val="1"/>
                <c:pt idx="0">
                  <c:v>Total</c:v>
                </c:pt>
              </c:strCache>
            </c:strRef>
          </c:tx>
          <c:spPr>
            <a:solidFill>
              <a:schemeClr val="accent1"/>
            </a:solidFill>
            <a:ln>
              <a:noFill/>
            </a:ln>
            <a:effectLst/>
          </c:spPr>
          <c:invertIfNegative val="0"/>
          <c:cat>
            <c:strRef>
              <c:f>pivots!$A$69:$A$75</c:f>
              <c:strCache>
                <c:ptCount val="6"/>
                <c:pt idx="0">
                  <c:v>0</c:v>
                </c:pt>
                <c:pt idx="1">
                  <c:v>1</c:v>
                </c:pt>
                <c:pt idx="2">
                  <c:v>2</c:v>
                </c:pt>
                <c:pt idx="3">
                  <c:v>3</c:v>
                </c:pt>
                <c:pt idx="4">
                  <c:v>4</c:v>
                </c:pt>
                <c:pt idx="5">
                  <c:v>5</c:v>
                </c:pt>
              </c:strCache>
            </c:strRef>
          </c:cat>
          <c:val>
            <c:numRef>
              <c:f>pivots!$B$69:$B$75</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BA0A-49E0-861C-5DB844DAFB39}"/>
            </c:ext>
          </c:extLst>
        </c:ser>
        <c:dLbls>
          <c:showLegendKey val="0"/>
          <c:showVal val="0"/>
          <c:showCatName val="0"/>
          <c:showSerName val="0"/>
          <c:showPercent val="0"/>
          <c:showBubbleSize val="0"/>
        </c:dLbls>
        <c:gapWidth val="10"/>
        <c:overlap val="100"/>
        <c:axId val="214980496"/>
        <c:axId val="214983376"/>
      </c:barChart>
      <c:catAx>
        <c:axId val="21498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3376"/>
        <c:crosses val="autoZero"/>
        <c:auto val="1"/>
        <c:lblAlgn val="ctr"/>
        <c:lblOffset val="100"/>
        <c:noMultiLvlLbl val="0"/>
      </c:catAx>
      <c:valAx>
        <c:axId val="214983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5.png"/><Relationship Id="rId7" Type="http://schemas.openxmlformats.org/officeDocument/2006/relationships/image" Target="../media/image11.png"/><Relationship Id="rId12" Type="http://schemas.openxmlformats.org/officeDocument/2006/relationships/image" Target="../media/image8.sv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image" Target="../media/image2.svg"/><Relationship Id="rId4" Type="http://schemas.openxmlformats.org/officeDocument/2006/relationships/image" Target="../media/image6.svg"/><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595935</xdr:colOff>
      <xdr:row>22</xdr:row>
      <xdr:rowOff>193730</xdr:rowOff>
    </xdr:from>
    <xdr:to>
      <xdr:col>15</xdr:col>
      <xdr:colOff>865322</xdr:colOff>
      <xdr:row>31</xdr:row>
      <xdr:rowOff>180814</xdr:rowOff>
    </xdr:to>
    <mc:AlternateContent xmlns:mc="http://schemas.openxmlformats.org/markup-compatibility/2006" xmlns:a14="http://schemas.microsoft.com/office/drawing/2010/main">
      <mc:Choice Requires="a14">
        <xdr:graphicFrame macro="">
          <xdr:nvGraphicFramePr>
            <xdr:cNvPr id="23" name="Representative">
              <a:extLst>
                <a:ext uri="{FF2B5EF4-FFF2-40B4-BE49-F238E27FC236}">
                  <a16:creationId xmlns:a16="http://schemas.microsoft.com/office/drawing/2014/main" id="{76BAD8E7-C8D6-42DF-8BCE-660BD58CD66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983460" y="4171628"/>
              <a:ext cx="2284167" cy="2079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324971</xdr:colOff>
      <xdr:row>3</xdr:row>
      <xdr:rowOff>156883</xdr:rowOff>
    </xdr:from>
    <xdr:to>
      <xdr:col>19</xdr:col>
      <xdr:colOff>594102</xdr:colOff>
      <xdr:row>17</xdr:row>
      <xdr:rowOff>112059</xdr:rowOff>
    </xdr:to>
    <xdr:graphicFrame macro="">
      <xdr:nvGraphicFramePr>
        <xdr:cNvPr id="25" name="Chart 24">
          <a:extLst>
            <a:ext uri="{FF2B5EF4-FFF2-40B4-BE49-F238E27FC236}">
              <a16:creationId xmlns:a16="http://schemas.microsoft.com/office/drawing/2014/main" id="{AD5DEEF9-BF93-48E1-9503-B6E617389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301035</xdr:colOff>
      <xdr:row>2</xdr:row>
      <xdr:rowOff>75260</xdr:rowOff>
    </xdr:from>
    <xdr:to>
      <xdr:col>4</xdr:col>
      <xdr:colOff>564444</xdr:colOff>
      <xdr:row>8</xdr:row>
      <xdr:rowOff>58326</xdr:rowOff>
    </xdr:to>
    <xdr:sp macro="" textlink="pivots!A4">
      <xdr:nvSpPr>
        <xdr:cNvPr id="2" name="Rectangle 1">
          <a:extLst>
            <a:ext uri="{FF2B5EF4-FFF2-40B4-BE49-F238E27FC236}">
              <a16:creationId xmlns:a16="http://schemas.microsoft.com/office/drawing/2014/main" id="{2C262A42-28F2-60F8-7583-CE08CF4503B4}"/>
            </a:ext>
          </a:extLst>
        </xdr:cNvPr>
        <xdr:cNvSpPr/>
      </xdr:nvSpPr>
      <xdr:spPr>
        <a:xfrm>
          <a:off x="959554" y="432741"/>
          <a:ext cx="1599260" cy="1055511"/>
        </a:xfrm>
        <a:prstGeom prst="rect">
          <a:avLst/>
        </a:prstGeom>
        <a:solidFill>
          <a:srgbClr val="FFC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B0B6C3-671D-4C32-90F6-145DDEF03849}" type="TxLink">
            <a:rPr lang="en-US" sz="3200" b="0" i="0" u="none" strike="noStrike">
              <a:solidFill>
                <a:schemeClr val="tx1"/>
              </a:solidFill>
              <a:latin typeface="+mj-lt"/>
            </a:rPr>
            <a:pPr algn="ctr"/>
            <a:t>1,000</a:t>
          </a:fld>
          <a:endParaRPr lang="en-IN" sz="3200">
            <a:solidFill>
              <a:schemeClr val="tx1"/>
            </a:solidFill>
            <a:latin typeface="+mj-lt"/>
          </a:endParaRPr>
        </a:p>
      </xdr:txBody>
    </xdr:sp>
    <xdr:clientData/>
  </xdr:twoCellAnchor>
  <xdr:twoCellAnchor>
    <xdr:from>
      <xdr:col>2</xdr:col>
      <xdr:colOff>555037</xdr:colOff>
      <xdr:row>2</xdr:row>
      <xdr:rowOff>84668</xdr:rowOff>
    </xdr:from>
    <xdr:to>
      <xdr:col>4</xdr:col>
      <xdr:colOff>357482</xdr:colOff>
      <xdr:row>4</xdr:row>
      <xdr:rowOff>84668</xdr:rowOff>
    </xdr:to>
    <xdr:sp macro="" textlink="">
      <xdr:nvSpPr>
        <xdr:cNvPr id="3" name="TextBox 2">
          <a:extLst>
            <a:ext uri="{FF2B5EF4-FFF2-40B4-BE49-F238E27FC236}">
              <a16:creationId xmlns:a16="http://schemas.microsoft.com/office/drawing/2014/main" id="{D5227A5F-9D04-62A7-C9E4-6493FAC762BC}"/>
            </a:ext>
          </a:extLst>
        </xdr:cNvPr>
        <xdr:cNvSpPr txBox="1"/>
      </xdr:nvSpPr>
      <xdr:spPr>
        <a:xfrm>
          <a:off x="1213556" y="442149"/>
          <a:ext cx="1138296"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rPr>
            <a:t>Calls</a:t>
          </a:r>
        </a:p>
      </xdr:txBody>
    </xdr:sp>
    <xdr:clientData/>
  </xdr:twoCellAnchor>
  <xdr:twoCellAnchor editAs="oneCell">
    <xdr:from>
      <xdr:col>2</xdr:col>
      <xdr:colOff>404471</xdr:colOff>
      <xdr:row>2</xdr:row>
      <xdr:rowOff>136568</xdr:rowOff>
    </xdr:from>
    <xdr:to>
      <xdr:col>2</xdr:col>
      <xdr:colOff>644621</xdr:colOff>
      <xdr:row>4</xdr:row>
      <xdr:rowOff>7757</xdr:rowOff>
    </xdr:to>
    <xdr:pic>
      <xdr:nvPicPr>
        <xdr:cNvPr id="4" name="Graphic 3" descr="Receiver with solid fill">
          <a:extLst>
            <a:ext uri="{FF2B5EF4-FFF2-40B4-BE49-F238E27FC236}">
              <a16:creationId xmlns:a16="http://schemas.microsoft.com/office/drawing/2014/main" id="{0EB05DA9-0025-4161-A6EA-19BEAA89A2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238599">
          <a:off x="1062990" y="494049"/>
          <a:ext cx="240150" cy="228672"/>
        </a:xfrm>
        <a:prstGeom prst="rect">
          <a:avLst/>
        </a:prstGeom>
      </xdr:spPr>
    </xdr:pic>
    <xdr:clientData/>
  </xdr:twoCellAnchor>
  <xdr:twoCellAnchor>
    <xdr:from>
      <xdr:col>3</xdr:col>
      <xdr:colOff>37630</xdr:colOff>
      <xdr:row>6</xdr:row>
      <xdr:rowOff>56445</xdr:rowOff>
    </xdr:from>
    <xdr:to>
      <xdr:col>4</xdr:col>
      <xdr:colOff>216371</xdr:colOff>
      <xdr:row>8</xdr:row>
      <xdr:rowOff>18815</xdr:rowOff>
    </xdr:to>
    <xdr:sp macro="" textlink="pivots!A12">
      <xdr:nvSpPr>
        <xdr:cNvPr id="5" name="TextBox 4">
          <a:extLst>
            <a:ext uri="{FF2B5EF4-FFF2-40B4-BE49-F238E27FC236}">
              <a16:creationId xmlns:a16="http://schemas.microsoft.com/office/drawing/2014/main" id="{6D9CCA32-E66A-D978-A625-7CBE7EF66403}"/>
            </a:ext>
          </a:extLst>
        </xdr:cNvPr>
        <xdr:cNvSpPr txBox="1"/>
      </xdr:nvSpPr>
      <xdr:spPr>
        <a:xfrm>
          <a:off x="1364074" y="1128889"/>
          <a:ext cx="846667"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F41F4B-A924-494D-B0A1-D885A5D1BC1C}" type="TxLink">
            <a:rPr lang="en-US" sz="1400" b="0" i="0" u="none" strike="noStrike">
              <a:solidFill>
                <a:schemeClr val="tx1">
                  <a:lumMod val="75000"/>
                  <a:lumOff val="25000"/>
                </a:schemeClr>
              </a:solidFill>
              <a:latin typeface="Aptos"/>
            </a:rPr>
            <a:pPr algn="ctr"/>
            <a:t>207</a:t>
          </a:fld>
          <a:endParaRPr lang="en-IN" sz="1400">
            <a:solidFill>
              <a:schemeClr val="tx1">
                <a:lumMod val="75000"/>
                <a:lumOff val="25000"/>
              </a:schemeClr>
            </a:solidFill>
          </a:endParaRPr>
        </a:p>
      </xdr:txBody>
    </xdr:sp>
    <xdr:clientData/>
  </xdr:twoCellAnchor>
  <xdr:twoCellAnchor>
    <xdr:from>
      <xdr:col>2</xdr:col>
      <xdr:colOff>319851</xdr:colOff>
      <xdr:row>11</xdr:row>
      <xdr:rowOff>18815</xdr:rowOff>
    </xdr:from>
    <xdr:to>
      <xdr:col>4</xdr:col>
      <xdr:colOff>583260</xdr:colOff>
      <xdr:row>17</xdr:row>
      <xdr:rowOff>1881</xdr:rowOff>
    </xdr:to>
    <xdr:sp macro="" textlink="pivots!B4">
      <xdr:nvSpPr>
        <xdr:cNvPr id="6" name="Rectangle 5">
          <a:extLst>
            <a:ext uri="{FF2B5EF4-FFF2-40B4-BE49-F238E27FC236}">
              <a16:creationId xmlns:a16="http://schemas.microsoft.com/office/drawing/2014/main" id="{9F1E244E-71B9-42DB-A92D-15446EE9551A}"/>
            </a:ext>
          </a:extLst>
        </xdr:cNvPr>
        <xdr:cNvSpPr/>
      </xdr:nvSpPr>
      <xdr:spPr>
        <a:xfrm>
          <a:off x="978370" y="1984963"/>
          <a:ext cx="1599260" cy="1055511"/>
        </a:xfrm>
        <a:prstGeom prst="rect">
          <a:avLst/>
        </a:prstGeom>
        <a:solidFill>
          <a:srgbClr val="FFC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03D85B0-BC25-433F-8149-8101AB6554ED}" type="TxLink">
            <a:rPr lang="en-US" sz="2600" b="0" i="0" u="none" strike="noStrike">
              <a:solidFill>
                <a:schemeClr val="tx1"/>
              </a:solidFill>
              <a:latin typeface="+mj-lt"/>
              <a:ea typeface="+mn-ea"/>
              <a:cs typeface="+mn-cs"/>
            </a:rPr>
            <a:pPr marL="0" indent="0" algn="ctr"/>
            <a:t>$96,623</a:t>
          </a:fld>
          <a:endParaRPr lang="en-IN" sz="2600" b="0" i="0" u="none" strike="noStrike">
            <a:solidFill>
              <a:schemeClr val="tx1"/>
            </a:solidFill>
            <a:latin typeface="+mj-lt"/>
            <a:ea typeface="+mn-ea"/>
            <a:cs typeface="+mn-cs"/>
          </a:endParaRPr>
        </a:p>
      </xdr:txBody>
    </xdr:sp>
    <xdr:clientData/>
  </xdr:twoCellAnchor>
  <xdr:twoCellAnchor>
    <xdr:from>
      <xdr:col>2</xdr:col>
      <xdr:colOff>573853</xdr:colOff>
      <xdr:row>11</xdr:row>
      <xdr:rowOff>28223</xdr:rowOff>
    </xdr:from>
    <xdr:to>
      <xdr:col>4</xdr:col>
      <xdr:colOff>376298</xdr:colOff>
      <xdr:row>13</xdr:row>
      <xdr:rowOff>28223</xdr:rowOff>
    </xdr:to>
    <xdr:sp macro="" textlink="">
      <xdr:nvSpPr>
        <xdr:cNvPr id="7" name="TextBox 6">
          <a:extLst>
            <a:ext uri="{FF2B5EF4-FFF2-40B4-BE49-F238E27FC236}">
              <a16:creationId xmlns:a16="http://schemas.microsoft.com/office/drawing/2014/main" id="{458FE717-C5DA-4FEB-922B-700B2FF36BBA}"/>
            </a:ext>
          </a:extLst>
        </xdr:cNvPr>
        <xdr:cNvSpPr txBox="1"/>
      </xdr:nvSpPr>
      <xdr:spPr>
        <a:xfrm>
          <a:off x="1232372" y="1994371"/>
          <a:ext cx="1138296"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rPr>
            <a:t>Amount</a:t>
          </a:r>
        </a:p>
        <a:p>
          <a:pPr algn="ctr"/>
          <a:endParaRPr lang="en-IN" sz="1400">
            <a:solidFill>
              <a:schemeClr val="tx1">
                <a:lumMod val="75000"/>
                <a:lumOff val="25000"/>
              </a:schemeClr>
            </a:solidFill>
          </a:endParaRPr>
        </a:p>
      </xdr:txBody>
    </xdr:sp>
    <xdr:clientData/>
  </xdr:twoCellAnchor>
  <xdr:twoCellAnchor editAs="oneCell">
    <xdr:from>
      <xdr:col>2</xdr:col>
      <xdr:colOff>429026</xdr:colOff>
      <xdr:row>11</xdr:row>
      <xdr:rowOff>80123</xdr:rowOff>
    </xdr:from>
    <xdr:to>
      <xdr:col>2</xdr:col>
      <xdr:colOff>657698</xdr:colOff>
      <xdr:row>12</xdr:row>
      <xdr:rowOff>130054</xdr:rowOff>
    </xdr:to>
    <xdr:pic>
      <xdr:nvPicPr>
        <xdr:cNvPr id="8" name="Graphic 7">
          <a:extLst>
            <a:ext uri="{FF2B5EF4-FFF2-40B4-BE49-F238E27FC236}">
              <a16:creationId xmlns:a16="http://schemas.microsoft.com/office/drawing/2014/main" id="{6CD3B2E2-82F1-4B71-81F0-E45D1BD861F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1087545" y="2046271"/>
          <a:ext cx="228672" cy="228672"/>
        </a:xfrm>
        <a:prstGeom prst="rect">
          <a:avLst/>
        </a:prstGeom>
      </xdr:spPr>
    </xdr:pic>
    <xdr:clientData/>
  </xdr:twoCellAnchor>
  <xdr:twoCellAnchor>
    <xdr:from>
      <xdr:col>3</xdr:col>
      <xdr:colOff>56446</xdr:colOff>
      <xdr:row>15</xdr:row>
      <xdr:rowOff>0</xdr:rowOff>
    </xdr:from>
    <xdr:to>
      <xdr:col>4</xdr:col>
      <xdr:colOff>235187</xdr:colOff>
      <xdr:row>16</xdr:row>
      <xdr:rowOff>141111</xdr:rowOff>
    </xdr:to>
    <xdr:sp macro="" textlink="pivots!B12">
      <xdr:nvSpPr>
        <xdr:cNvPr id="9" name="TextBox 8">
          <a:extLst>
            <a:ext uri="{FF2B5EF4-FFF2-40B4-BE49-F238E27FC236}">
              <a16:creationId xmlns:a16="http://schemas.microsoft.com/office/drawing/2014/main" id="{20D6BEAA-4BFA-42F0-A1A5-F87739FECB54}"/>
            </a:ext>
          </a:extLst>
        </xdr:cNvPr>
        <xdr:cNvSpPr txBox="1"/>
      </xdr:nvSpPr>
      <xdr:spPr>
        <a:xfrm>
          <a:off x="1382890" y="2681111"/>
          <a:ext cx="846667"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A0E397-7F5E-447F-92F6-3870BACC5512}" type="TxLink">
            <a:rPr lang="en-US" sz="1400" b="0" i="0" u="none" strike="noStrike">
              <a:solidFill>
                <a:srgbClr val="000000"/>
              </a:solidFill>
              <a:latin typeface="Aptos"/>
            </a:rPr>
            <a:pPr algn="ctr"/>
            <a:t>$20,872</a:t>
          </a:fld>
          <a:endParaRPr lang="en-IN" sz="1400">
            <a:solidFill>
              <a:schemeClr val="tx1">
                <a:lumMod val="75000"/>
                <a:lumOff val="25000"/>
              </a:schemeClr>
            </a:solidFill>
          </a:endParaRPr>
        </a:p>
      </xdr:txBody>
    </xdr:sp>
    <xdr:clientData/>
  </xdr:twoCellAnchor>
  <xdr:twoCellAnchor>
    <xdr:from>
      <xdr:col>2</xdr:col>
      <xdr:colOff>310445</xdr:colOff>
      <xdr:row>19</xdr:row>
      <xdr:rowOff>9407</xdr:rowOff>
    </xdr:from>
    <xdr:to>
      <xdr:col>4</xdr:col>
      <xdr:colOff>573854</xdr:colOff>
      <xdr:row>24</xdr:row>
      <xdr:rowOff>171214</xdr:rowOff>
    </xdr:to>
    <xdr:sp macro="" textlink="pivots!C4">
      <xdr:nvSpPr>
        <xdr:cNvPr id="10" name="Rectangle 9">
          <a:extLst>
            <a:ext uri="{FF2B5EF4-FFF2-40B4-BE49-F238E27FC236}">
              <a16:creationId xmlns:a16="http://schemas.microsoft.com/office/drawing/2014/main" id="{58A17DBE-7C5E-4644-9154-CD1F389E2485}"/>
            </a:ext>
          </a:extLst>
        </xdr:cNvPr>
        <xdr:cNvSpPr/>
      </xdr:nvSpPr>
      <xdr:spPr>
        <a:xfrm>
          <a:off x="968964" y="3405481"/>
          <a:ext cx="1599260" cy="1055511"/>
        </a:xfrm>
        <a:prstGeom prst="rect">
          <a:avLst/>
        </a:prstGeom>
        <a:solidFill>
          <a:srgbClr val="FFC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49D64FB-4774-4AC4-A98D-683B7A7112B0}" type="TxLink">
            <a:rPr lang="en-US" sz="2600" b="0" i="0" u="none" strike="noStrike">
              <a:solidFill>
                <a:schemeClr val="tx1"/>
              </a:solidFill>
              <a:latin typeface="+mj-lt"/>
              <a:ea typeface="+mn-ea"/>
              <a:cs typeface="+mn-cs"/>
            </a:rPr>
            <a:pPr marL="0" indent="0" algn="ctr"/>
            <a:t>89,850</a:t>
          </a:fld>
          <a:endParaRPr lang="en-IN" sz="2600" b="0" i="0" u="none" strike="noStrike">
            <a:solidFill>
              <a:schemeClr val="tx1"/>
            </a:solidFill>
            <a:latin typeface="+mj-lt"/>
            <a:ea typeface="+mn-ea"/>
            <a:cs typeface="+mn-cs"/>
          </a:endParaRPr>
        </a:p>
      </xdr:txBody>
    </xdr:sp>
    <xdr:clientData/>
  </xdr:twoCellAnchor>
  <xdr:twoCellAnchor>
    <xdr:from>
      <xdr:col>2</xdr:col>
      <xdr:colOff>564447</xdr:colOff>
      <xdr:row>19</xdr:row>
      <xdr:rowOff>18815</xdr:rowOff>
    </xdr:from>
    <xdr:to>
      <xdr:col>4</xdr:col>
      <xdr:colOff>366892</xdr:colOff>
      <xdr:row>21</xdr:row>
      <xdr:rowOff>18815</xdr:rowOff>
    </xdr:to>
    <xdr:sp macro="" textlink="">
      <xdr:nvSpPr>
        <xdr:cNvPr id="11" name="TextBox 10">
          <a:extLst>
            <a:ext uri="{FF2B5EF4-FFF2-40B4-BE49-F238E27FC236}">
              <a16:creationId xmlns:a16="http://schemas.microsoft.com/office/drawing/2014/main" id="{A4E43971-7B42-4ABD-9A58-63847DD135A9}"/>
            </a:ext>
          </a:extLst>
        </xdr:cNvPr>
        <xdr:cNvSpPr txBox="1"/>
      </xdr:nvSpPr>
      <xdr:spPr>
        <a:xfrm>
          <a:off x="1222966" y="3414889"/>
          <a:ext cx="1138296"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rPr>
            <a:t>Duration</a:t>
          </a:r>
        </a:p>
      </xdr:txBody>
    </xdr:sp>
    <xdr:clientData/>
  </xdr:twoCellAnchor>
  <xdr:twoCellAnchor editAs="oneCell">
    <xdr:from>
      <xdr:col>2</xdr:col>
      <xdr:colOff>416225</xdr:colOff>
      <xdr:row>19</xdr:row>
      <xdr:rowOff>70715</xdr:rowOff>
    </xdr:from>
    <xdr:to>
      <xdr:col>2</xdr:col>
      <xdr:colOff>651687</xdr:colOff>
      <xdr:row>20</xdr:row>
      <xdr:rowOff>120645</xdr:rowOff>
    </xdr:to>
    <xdr:pic>
      <xdr:nvPicPr>
        <xdr:cNvPr id="12" name="Graphic 11">
          <a:extLst>
            <a:ext uri="{FF2B5EF4-FFF2-40B4-BE49-F238E27FC236}">
              <a16:creationId xmlns:a16="http://schemas.microsoft.com/office/drawing/2014/main" id="{5013ED4E-886C-4A5A-A6A0-710900B491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1078834" y="3595793"/>
          <a:ext cx="235462" cy="235462"/>
        </a:xfrm>
        <a:prstGeom prst="rect">
          <a:avLst/>
        </a:prstGeom>
      </xdr:spPr>
    </xdr:pic>
    <xdr:clientData/>
  </xdr:twoCellAnchor>
  <xdr:twoCellAnchor>
    <xdr:from>
      <xdr:col>3</xdr:col>
      <xdr:colOff>47040</xdr:colOff>
      <xdr:row>22</xdr:row>
      <xdr:rowOff>169333</xdr:rowOff>
    </xdr:from>
    <xdr:to>
      <xdr:col>4</xdr:col>
      <xdr:colOff>225781</xdr:colOff>
      <xdr:row>24</xdr:row>
      <xdr:rowOff>131703</xdr:rowOff>
    </xdr:to>
    <xdr:sp macro="" textlink="pivots!C12">
      <xdr:nvSpPr>
        <xdr:cNvPr id="13" name="TextBox 12">
          <a:extLst>
            <a:ext uri="{FF2B5EF4-FFF2-40B4-BE49-F238E27FC236}">
              <a16:creationId xmlns:a16="http://schemas.microsoft.com/office/drawing/2014/main" id="{4215E3A8-234F-4E85-8F95-6DF68CA27859}"/>
            </a:ext>
          </a:extLst>
        </xdr:cNvPr>
        <xdr:cNvSpPr txBox="1"/>
      </xdr:nvSpPr>
      <xdr:spPr>
        <a:xfrm>
          <a:off x="1373484" y="4101629"/>
          <a:ext cx="846667"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9BBF1C-B515-4DA0-A2F8-C215B8F182D7}" type="TxLink">
            <a:rPr lang="en-US" sz="1400" b="0" i="0" u="none" strike="noStrike">
              <a:solidFill>
                <a:srgbClr val="000000"/>
              </a:solidFill>
              <a:latin typeface="Aptos"/>
            </a:rPr>
            <a:pPr algn="ctr"/>
            <a:t>17,700</a:t>
          </a:fld>
          <a:endParaRPr lang="en-IN" sz="1400">
            <a:solidFill>
              <a:schemeClr val="tx1">
                <a:lumMod val="75000"/>
                <a:lumOff val="25000"/>
              </a:schemeClr>
            </a:solidFill>
          </a:endParaRPr>
        </a:p>
      </xdr:txBody>
    </xdr:sp>
    <xdr:clientData/>
  </xdr:twoCellAnchor>
  <xdr:twoCellAnchor>
    <xdr:from>
      <xdr:col>2</xdr:col>
      <xdr:colOff>319851</xdr:colOff>
      <xdr:row>27</xdr:row>
      <xdr:rowOff>0</xdr:rowOff>
    </xdr:from>
    <xdr:to>
      <xdr:col>4</xdr:col>
      <xdr:colOff>583260</xdr:colOff>
      <xdr:row>32</xdr:row>
      <xdr:rowOff>161807</xdr:rowOff>
    </xdr:to>
    <xdr:sp macro="" textlink="pivots!D4">
      <xdr:nvSpPr>
        <xdr:cNvPr id="14" name="Rectangle 13">
          <a:extLst>
            <a:ext uri="{FF2B5EF4-FFF2-40B4-BE49-F238E27FC236}">
              <a16:creationId xmlns:a16="http://schemas.microsoft.com/office/drawing/2014/main" id="{AE157238-564B-49DB-8FD2-5E86E5BB1C4C}"/>
            </a:ext>
          </a:extLst>
        </xdr:cNvPr>
        <xdr:cNvSpPr/>
      </xdr:nvSpPr>
      <xdr:spPr>
        <a:xfrm>
          <a:off x="978370" y="4826000"/>
          <a:ext cx="1599260" cy="1055511"/>
        </a:xfrm>
        <a:prstGeom prst="rect">
          <a:avLst/>
        </a:prstGeom>
        <a:solidFill>
          <a:srgbClr val="FFC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4A02438-F88D-406C-9ED4-F127DAA7151E}" type="TxLink">
            <a:rPr lang="en-US" sz="2600" b="0" i="0" u="none" strike="noStrike">
              <a:solidFill>
                <a:schemeClr val="tx1"/>
              </a:solidFill>
              <a:latin typeface="+mj-lt"/>
              <a:ea typeface="+mn-ea"/>
              <a:cs typeface="+mn-cs"/>
            </a:rPr>
            <a:pPr marL="0" indent="0" algn="ctr"/>
            <a:t>3.9</a:t>
          </a:fld>
          <a:endParaRPr lang="en-IN" sz="2600" b="0" i="0" u="none" strike="noStrike">
            <a:solidFill>
              <a:schemeClr val="tx1"/>
            </a:solidFill>
            <a:latin typeface="+mj-lt"/>
            <a:ea typeface="+mn-ea"/>
            <a:cs typeface="+mn-cs"/>
          </a:endParaRPr>
        </a:p>
      </xdr:txBody>
    </xdr:sp>
    <xdr:clientData/>
  </xdr:twoCellAnchor>
  <xdr:twoCellAnchor>
    <xdr:from>
      <xdr:col>2</xdr:col>
      <xdr:colOff>573853</xdr:colOff>
      <xdr:row>27</xdr:row>
      <xdr:rowOff>9408</xdr:rowOff>
    </xdr:from>
    <xdr:to>
      <xdr:col>4</xdr:col>
      <xdr:colOff>376298</xdr:colOff>
      <xdr:row>29</xdr:row>
      <xdr:rowOff>9409</xdr:rowOff>
    </xdr:to>
    <xdr:sp macro="" textlink="">
      <xdr:nvSpPr>
        <xdr:cNvPr id="15" name="TextBox 14">
          <a:extLst>
            <a:ext uri="{FF2B5EF4-FFF2-40B4-BE49-F238E27FC236}">
              <a16:creationId xmlns:a16="http://schemas.microsoft.com/office/drawing/2014/main" id="{F435133D-90DC-4F57-A164-712B7A873910}"/>
            </a:ext>
          </a:extLst>
        </xdr:cNvPr>
        <xdr:cNvSpPr txBox="1"/>
      </xdr:nvSpPr>
      <xdr:spPr>
        <a:xfrm>
          <a:off x="1232372" y="4835408"/>
          <a:ext cx="1138296"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rPr>
            <a:t>Avg</a:t>
          </a:r>
          <a:r>
            <a:rPr lang="en-IN" sz="1400" baseline="0">
              <a:solidFill>
                <a:schemeClr val="tx1">
                  <a:lumMod val="75000"/>
                  <a:lumOff val="25000"/>
                </a:schemeClr>
              </a:solidFill>
            </a:rPr>
            <a:t> Rating</a:t>
          </a:r>
          <a:endParaRPr lang="en-IN" sz="1400">
            <a:solidFill>
              <a:schemeClr val="tx1">
                <a:lumMod val="75000"/>
                <a:lumOff val="25000"/>
              </a:schemeClr>
            </a:solidFill>
          </a:endParaRPr>
        </a:p>
      </xdr:txBody>
    </xdr:sp>
    <xdr:clientData/>
  </xdr:twoCellAnchor>
  <xdr:twoCellAnchor editAs="oneCell">
    <xdr:from>
      <xdr:col>2</xdr:col>
      <xdr:colOff>429026</xdr:colOff>
      <xdr:row>27</xdr:row>
      <xdr:rowOff>61308</xdr:rowOff>
    </xdr:from>
    <xdr:to>
      <xdr:col>2</xdr:col>
      <xdr:colOff>657698</xdr:colOff>
      <xdr:row>28</xdr:row>
      <xdr:rowOff>62859</xdr:rowOff>
    </xdr:to>
    <xdr:pic>
      <xdr:nvPicPr>
        <xdr:cNvPr id="16" name="Graphic 15">
          <a:extLst>
            <a:ext uri="{FF2B5EF4-FFF2-40B4-BE49-F238E27FC236}">
              <a16:creationId xmlns:a16="http://schemas.microsoft.com/office/drawing/2014/main" id="{4507A8A6-9CF1-40DD-8ABB-DE8C6E643F4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1091635" y="5070630"/>
          <a:ext cx="228672" cy="235461"/>
        </a:xfrm>
        <a:prstGeom prst="rect">
          <a:avLst/>
        </a:prstGeom>
      </xdr:spPr>
    </xdr:pic>
    <xdr:clientData/>
  </xdr:twoCellAnchor>
  <xdr:twoCellAnchor>
    <xdr:from>
      <xdr:col>3</xdr:col>
      <xdr:colOff>56446</xdr:colOff>
      <xdr:row>30</xdr:row>
      <xdr:rowOff>159926</xdr:rowOff>
    </xdr:from>
    <xdr:to>
      <xdr:col>4</xdr:col>
      <xdr:colOff>235187</xdr:colOff>
      <xdr:row>32</xdr:row>
      <xdr:rowOff>122296</xdr:rowOff>
    </xdr:to>
    <xdr:sp macro="" textlink="pivots!D12">
      <xdr:nvSpPr>
        <xdr:cNvPr id="17" name="TextBox 16">
          <a:extLst>
            <a:ext uri="{FF2B5EF4-FFF2-40B4-BE49-F238E27FC236}">
              <a16:creationId xmlns:a16="http://schemas.microsoft.com/office/drawing/2014/main" id="{7D5051BE-9039-44A6-9068-72D57DE4F374}"/>
            </a:ext>
          </a:extLst>
        </xdr:cNvPr>
        <xdr:cNvSpPr txBox="1"/>
      </xdr:nvSpPr>
      <xdr:spPr>
        <a:xfrm>
          <a:off x="1382890" y="5522148"/>
          <a:ext cx="846667"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43668F-0B1F-402D-BEB4-FFAD9AF8B49B}" type="TxLink">
            <a:rPr lang="en-US" sz="1400" b="0" i="0" u="none" strike="noStrike">
              <a:solidFill>
                <a:srgbClr val="000000"/>
              </a:solidFill>
              <a:latin typeface="Aptos"/>
            </a:rPr>
            <a:pPr algn="ctr"/>
            <a:t>3.9</a:t>
          </a:fld>
          <a:endParaRPr lang="en-IN" sz="1400">
            <a:solidFill>
              <a:schemeClr val="tx1">
                <a:lumMod val="75000"/>
                <a:lumOff val="25000"/>
              </a:schemeClr>
            </a:solidFill>
          </a:endParaRPr>
        </a:p>
      </xdr:txBody>
    </xdr:sp>
    <xdr:clientData/>
  </xdr:twoCellAnchor>
  <xdr:twoCellAnchor>
    <xdr:from>
      <xdr:col>2</xdr:col>
      <xdr:colOff>338666</xdr:colOff>
      <xdr:row>34</xdr:row>
      <xdr:rowOff>141112</xdr:rowOff>
    </xdr:from>
    <xdr:to>
      <xdr:col>4</xdr:col>
      <xdr:colOff>602075</xdr:colOff>
      <xdr:row>40</xdr:row>
      <xdr:rowOff>124178</xdr:rowOff>
    </xdr:to>
    <xdr:sp macro="" textlink="pivots!E4">
      <xdr:nvSpPr>
        <xdr:cNvPr id="18" name="Rectangle 17">
          <a:extLst>
            <a:ext uri="{FF2B5EF4-FFF2-40B4-BE49-F238E27FC236}">
              <a16:creationId xmlns:a16="http://schemas.microsoft.com/office/drawing/2014/main" id="{33321A8F-3C5F-469F-B1CD-3792CFDFE95D}"/>
            </a:ext>
          </a:extLst>
        </xdr:cNvPr>
        <xdr:cNvSpPr/>
      </xdr:nvSpPr>
      <xdr:spPr>
        <a:xfrm>
          <a:off x="997185" y="6218297"/>
          <a:ext cx="1599260" cy="1055511"/>
        </a:xfrm>
        <a:prstGeom prst="rect">
          <a:avLst/>
        </a:prstGeom>
        <a:solidFill>
          <a:srgbClr val="FFC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7C00C3A-2164-416B-BD56-B91A71E6C1EA}" type="TxLink">
            <a:rPr lang="en-US" sz="2600" b="0" i="0" u="none" strike="noStrike">
              <a:solidFill>
                <a:schemeClr val="tx1"/>
              </a:solidFill>
              <a:latin typeface="+mj-lt"/>
              <a:ea typeface="+mn-ea"/>
              <a:cs typeface="+mn-cs"/>
            </a:rPr>
            <a:pPr marL="0" indent="0" algn="ctr"/>
            <a:t>307</a:t>
          </a:fld>
          <a:endParaRPr lang="en-IN" sz="2600" b="0" i="0" u="none" strike="noStrike">
            <a:solidFill>
              <a:schemeClr val="tx1"/>
            </a:solidFill>
            <a:latin typeface="+mj-lt"/>
            <a:ea typeface="+mn-ea"/>
            <a:cs typeface="+mn-cs"/>
          </a:endParaRPr>
        </a:p>
      </xdr:txBody>
    </xdr:sp>
    <xdr:clientData/>
  </xdr:twoCellAnchor>
  <xdr:twoCellAnchor>
    <xdr:from>
      <xdr:col>2</xdr:col>
      <xdr:colOff>592668</xdr:colOff>
      <xdr:row>34</xdr:row>
      <xdr:rowOff>150520</xdr:rowOff>
    </xdr:from>
    <xdr:to>
      <xdr:col>4</xdr:col>
      <xdr:colOff>611483</xdr:colOff>
      <xdr:row>36</xdr:row>
      <xdr:rowOff>150520</xdr:rowOff>
    </xdr:to>
    <xdr:sp macro="" textlink="">
      <xdr:nvSpPr>
        <xdr:cNvPr id="19" name="TextBox 18">
          <a:extLst>
            <a:ext uri="{FF2B5EF4-FFF2-40B4-BE49-F238E27FC236}">
              <a16:creationId xmlns:a16="http://schemas.microsoft.com/office/drawing/2014/main" id="{F43E61CD-4CB0-4A34-A49D-F69B25C02DD9}"/>
            </a:ext>
          </a:extLst>
        </xdr:cNvPr>
        <xdr:cNvSpPr txBox="1"/>
      </xdr:nvSpPr>
      <xdr:spPr>
        <a:xfrm>
          <a:off x="1251187" y="6227705"/>
          <a:ext cx="1354666" cy="35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rPr>
            <a:t>Happy Callers</a:t>
          </a:r>
        </a:p>
      </xdr:txBody>
    </xdr:sp>
    <xdr:clientData/>
  </xdr:twoCellAnchor>
  <xdr:twoCellAnchor editAs="oneCell">
    <xdr:from>
      <xdr:col>2</xdr:col>
      <xdr:colOff>447841</xdr:colOff>
      <xdr:row>35</xdr:row>
      <xdr:rowOff>23679</xdr:rowOff>
    </xdr:from>
    <xdr:to>
      <xdr:col>3</xdr:col>
      <xdr:colOff>8588</xdr:colOff>
      <xdr:row>35</xdr:row>
      <xdr:rowOff>257703</xdr:rowOff>
    </xdr:to>
    <xdr:pic>
      <xdr:nvPicPr>
        <xdr:cNvPr id="20" name="Graphic 19">
          <a:extLst>
            <a:ext uri="{FF2B5EF4-FFF2-40B4-BE49-F238E27FC236}">
              <a16:creationId xmlns:a16="http://schemas.microsoft.com/office/drawing/2014/main" id="{5E5983E8-0FB7-41A3-B3B9-687C47F1C53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rot="287401">
          <a:off x="1106360" y="6279605"/>
          <a:ext cx="228672" cy="228672"/>
        </a:xfrm>
        <a:prstGeom prst="rect">
          <a:avLst/>
        </a:prstGeom>
      </xdr:spPr>
    </xdr:pic>
    <xdr:clientData/>
  </xdr:twoCellAnchor>
  <xdr:twoCellAnchor>
    <xdr:from>
      <xdr:col>3</xdr:col>
      <xdr:colOff>75261</xdr:colOff>
      <xdr:row>38</xdr:row>
      <xdr:rowOff>122297</xdr:rowOff>
    </xdr:from>
    <xdr:to>
      <xdr:col>4</xdr:col>
      <xdr:colOff>254002</xdr:colOff>
      <xdr:row>40</xdr:row>
      <xdr:rowOff>84667</xdr:rowOff>
    </xdr:to>
    <xdr:sp macro="" textlink="pivots!E12">
      <xdr:nvSpPr>
        <xdr:cNvPr id="21" name="TextBox 20">
          <a:extLst>
            <a:ext uri="{FF2B5EF4-FFF2-40B4-BE49-F238E27FC236}">
              <a16:creationId xmlns:a16="http://schemas.microsoft.com/office/drawing/2014/main" id="{C380866A-E3FA-4206-AD8B-8F4D1C6D164C}"/>
            </a:ext>
          </a:extLst>
        </xdr:cNvPr>
        <xdr:cNvSpPr txBox="1"/>
      </xdr:nvSpPr>
      <xdr:spPr>
        <a:xfrm>
          <a:off x="1401705" y="6914445"/>
          <a:ext cx="846667"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D95FF7-3A6F-464B-A133-045C74F17560}" type="TxLink">
            <a:rPr lang="en-US" sz="1400" b="0" i="0" u="none" strike="noStrike">
              <a:solidFill>
                <a:srgbClr val="000000"/>
              </a:solidFill>
              <a:latin typeface="Aptos"/>
            </a:rPr>
            <a:pPr algn="ctr"/>
            <a:t>60</a:t>
          </a:fld>
          <a:endParaRPr lang="en-IN" sz="1400">
            <a:solidFill>
              <a:schemeClr val="tx1">
                <a:lumMod val="75000"/>
                <a:lumOff val="25000"/>
              </a:schemeClr>
            </a:solidFill>
          </a:endParaRPr>
        </a:p>
      </xdr:txBody>
    </xdr:sp>
    <xdr:clientData/>
  </xdr:twoCellAnchor>
  <xdr:twoCellAnchor>
    <xdr:from>
      <xdr:col>5</xdr:col>
      <xdr:colOff>253790</xdr:colOff>
      <xdr:row>1</xdr:row>
      <xdr:rowOff>145203</xdr:rowOff>
    </xdr:from>
    <xdr:to>
      <xdr:col>13</xdr:col>
      <xdr:colOff>358589</xdr:colOff>
      <xdr:row>20</xdr:row>
      <xdr:rowOff>44824</xdr:rowOff>
    </xdr:to>
    <xdr:graphicFrame macro="">
      <xdr:nvGraphicFramePr>
        <xdr:cNvPr id="24" name="Chart 23">
          <a:extLst>
            <a:ext uri="{FF2B5EF4-FFF2-40B4-BE49-F238E27FC236}">
              <a16:creationId xmlns:a16="http://schemas.microsoft.com/office/drawing/2014/main" id="{8E4BF37F-810C-4AD3-BD12-9D75075AD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445476</xdr:colOff>
      <xdr:row>22</xdr:row>
      <xdr:rowOff>147333</xdr:rowOff>
    </xdr:from>
    <xdr:to>
      <xdr:col>12</xdr:col>
      <xdr:colOff>490779</xdr:colOff>
      <xdr:row>40</xdr:row>
      <xdr:rowOff>11723</xdr:rowOff>
    </xdr:to>
    <xdr:graphicFrame macro="">
      <xdr:nvGraphicFramePr>
        <xdr:cNvPr id="26" name="Chart 25">
          <a:extLst>
            <a:ext uri="{FF2B5EF4-FFF2-40B4-BE49-F238E27FC236}">
              <a16:creationId xmlns:a16="http://schemas.microsoft.com/office/drawing/2014/main" id="{D1FD2288-B042-47F1-BD43-9E3B58654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636713</xdr:colOff>
      <xdr:row>1</xdr:row>
      <xdr:rowOff>9338</xdr:rowOff>
    </xdr:from>
    <xdr:to>
      <xdr:col>22</xdr:col>
      <xdr:colOff>51661</xdr:colOff>
      <xdr:row>19</xdr:row>
      <xdr:rowOff>67954</xdr:rowOff>
    </xdr:to>
    <xdr:graphicFrame macro="">
      <xdr:nvGraphicFramePr>
        <xdr:cNvPr id="28" name="Chart 27">
          <a:extLst>
            <a:ext uri="{FF2B5EF4-FFF2-40B4-BE49-F238E27FC236}">
              <a16:creationId xmlns:a16="http://schemas.microsoft.com/office/drawing/2014/main" id="{03AC86F6-7FF8-4EFD-A854-837449A46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1020304</xdr:colOff>
      <xdr:row>1</xdr:row>
      <xdr:rowOff>10176</xdr:rowOff>
    </xdr:from>
    <xdr:to>
      <xdr:col>25</xdr:col>
      <xdr:colOff>265936</xdr:colOff>
      <xdr:row>19</xdr:row>
      <xdr:rowOff>79449</xdr:rowOff>
    </xdr:to>
    <xdr:graphicFrame macro="">
      <xdr:nvGraphicFramePr>
        <xdr:cNvPr id="29" name="Chart 28">
          <a:extLst>
            <a:ext uri="{FF2B5EF4-FFF2-40B4-BE49-F238E27FC236}">
              <a16:creationId xmlns:a16="http://schemas.microsoft.com/office/drawing/2014/main" id="{9F0C26A8-6D77-4BDE-AABC-D5D53F9FA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2.887497916665" backgroundQuery="1" createdVersion="8" refreshedVersion="8" minRefreshableVersion="3" recordCount="0" supportSubquery="1" supportAdvancedDrill="1" xr:uid="{920F6A17-BB9C-40C9-9518-74AE07D3995F}">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3.020049305553" backgroundQuery="1" createdVersion="8" refreshedVersion="8" minRefreshableVersion="3" recordCount="0" supportSubquery="1" supportAdvancedDrill="1" xr:uid="{333929E8-9F3D-4390-B20E-5A5C0F2EC00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3.067316666667" backgroundQuery="1" createdVersion="8" refreshedVersion="8" minRefreshableVersion="3" recordCount="0" supportSubquery="1" supportAdvancedDrill="1" xr:uid="{92D140A3-215A-430A-88B4-2EF640263381}">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3.083551736112" backgroundQuery="1" createdVersion="8" refreshedVersion="8" minRefreshableVersion="3" recordCount="0" supportSubquery="1" supportAdvancedDrill="1" xr:uid="{4901438F-1DE9-4352-8A25-2CA73935B0B9}">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4.013680208336" backgroundQuery="1" createdVersion="8" refreshedVersion="8" minRefreshableVersion="3" recordCount="0" supportSubquery="1" supportAdvancedDrill="1" xr:uid="{8484F9F9-396B-4ABD-AF42-DB422176035E}">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4.013680787037" backgroundQuery="1" createdVersion="8" refreshedVersion="8" minRefreshableVersion="3" recordCount="0" supportSubquery="1" supportAdvancedDrill="1" xr:uid="{87D95142-3A62-4DB1-8B3B-4B662DE90CC8}">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4.01368113426" backgroundQuery="1" createdVersion="8" refreshedVersion="8" minRefreshableVersion="3" recordCount="0" supportSubquery="1" supportAdvancedDrill="1" xr:uid="{18379472-BDD1-434E-93B2-434150B11751}">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4.013681597222" backgroundQuery="1" createdVersion="8" refreshedVersion="8" minRefreshableVersion="3" recordCount="0" supportSubquery="1" supportAdvancedDrill="1" xr:uid="{63508021-4834-4A3C-BBD8-288A21CFF159}">
  <cacheSource type="external" connectionId="1"/>
  <cacheFields count="1">
    <cacheField name="[calls].[Representative].[Representative]" caption="Representative" numFmtId="0" hierarchy="3" level="1">
      <sharedItems count="1">
        <s v="R03"/>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4.013681944445" backgroundQuery="1" createdVersion="8" refreshedVersion="8" minRefreshableVersion="3" recordCount="0" supportSubquery="1" supportAdvancedDrill="1" xr:uid="{9BC36189-BB01-4AC5-A2BA-418B4C86AA1C}">
  <cacheSource type="external" connectionId="1"/>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rin maple" refreshedDate="46012.887492939815" backgroundQuery="1" createdVersion="3" refreshedVersion="8" minRefreshableVersion="3" recordCount="0" supportSubquery="1" supportAdvancedDrill="1" xr:uid="{328118AB-93AD-4902-8DEF-A4F3691A0653}">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14434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119E0A-C54A-44D0-8DE7-8FD6970024E5}" name="summary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F987F2-CACD-40D1-BD51-DA36977FA693}" name="selectd reps" cacheId="5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1:A5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66A722-C405-4F82-B64F-3937BA2C071B}"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9C2F9E-3774-4BB8-A8FD-EF781F977C70}" name="Weekly trend"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F19:G2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A906F-76C1-411A-AECD-CFCEAA04E949}" name="rep amounts"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78:F97"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5">
    <i>
      <x/>
    </i>
    <i>
      <x v="1"/>
    </i>
    <i>
      <x v="2"/>
    </i>
    <i>
      <x v="3"/>
    </i>
    <i>
      <x v="4"/>
    </i>
  </colItems>
  <dataFields count="1">
    <dataField fld="3"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98AA0C-5C9D-4F2C-8029-9FBD4C9E28A2}" name="rep satisfaction" cacheId="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68:B75"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AC8D43-36EF-4BD1-84CF-02DA84380781}" name="Monthly trend" cacheId="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E43018-FEF9-41E6-BA52-1A46856303A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0:D6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9B3DA1-29D4-4521-9C86-5A70391F1340}" name="representative pivor"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DF3482A-549B-413C-B6AC-54A506D94F74}" sourceName="[calls].[Representative]">
  <pivotTables>
    <pivotTable tabId="6" name="representative pivor"/>
    <pivotTable tabId="6" name="Monthly trend"/>
    <pivotTable tabId="6" name="Weekly trend"/>
    <pivotTable tabId="6" name="selectd reps"/>
    <pivotTable tabId="6" name="rep satisfaction"/>
  </pivotTables>
  <data>
    <olap pivotCacheId="22144348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285F376-7AA5-4A28-9D61-76488F7EDBD6}" cache="Slicer_Representative" caption="Representative" level="1"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F8C4-7BC2-44CA-932C-F04E43F492CA}">
  <dimension ref="A3:J97"/>
  <sheetViews>
    <sheetView topLeftCell="A6" zoomScale="118" workbookViewId="0">
      <selection activeCell="J18" sqref="J18"/>
    </sheetView>
  </sheetViews>
  <sheetFormatPr defaultRowHeight="14.4" x14ac:dyDescent="0.3"/>
  <cols>
    <col min="1" max="1" width="12.19921875" bestFit="1" customWidth="1"/>
    <col min="2" max="2" width="10" bestFit="1" customWidth="1"/>
    <col min="3" max="3" width="11" bestFit="1" customWidth="1"/>
    <col min="4" max="4" width="13.3984375" bestFit="1" customWidth="1"/>
    <col min="5" max="5" width="7.09765625" bestFit="1" customWidth="1"/>
    <col min="6" max="6" width="12.19921875" bestFit="1" customWidth="1"/>
    <col min="7" max="7" width="10" bestFit="1" customWidth="1"/>
    <col min="8" max="8" width="14.09765625" customWidth="1"/>
  </cols>
  <sheetData>
    <row r="3" spans="1:10" x14ac:dyDescent="0.3">
      <c r="A3" t="s">
        <v>1042</v>
      </c>
      <c r="B3" t="s">
        <v>1043</v>
      </c>
      <c r="C3" t="s">
        <v>1044</v>
      </c>
      <c r="D3" t="s">
        <v>1045</v>
      </c>
      <c r="E3" t="s">
        <v>1046</v>
      </c>
    </row>
    <row r="4" spans="1:10" x14ac:dyDescent="0.3">
      <c r="A4" s="22">
        <v>1000</v>
      </c>
      <c r="B4" s="23">
        <v>96623</v>
      </c>
      <c r="C4" s="22">
        <v>89850</v>
      </c>
      <c r="D4" s="24">
        <v>3.8854000000000033</v>
      </c>
      <c r="E4" s="22">
        <v>307</v>
      </c>
    </row>
    <row r="7" spans="1:10" x14ac:dyDescent="0.3">
      <c r="H7" t="s">
        <v>1077</v>
      </c>
    </row>
    <row r="8" spans="1:10" x14ac:dyDescent="0.3">
      <c r="G8" t="s">
        <v>1078</v>
      </c>
      <c r="H8" s="41">
        <f>A12/A4</f>
        <v>0.20699999999999999</v>
      </c>
    </row>
    <row r="9" spans="1:10" x14ac:dyDescent="0.3">
      <c r="G9" t="s">
        <v>1080</v>
      </c>
      <c r="H9">
        <f>_xlfn.XLOOKUP(A52,E41:E45,F41:F45)</f>
        <v>207</v>
      </c>
    </row>
    <row r="10" spans="1:10" x14ac:dyDescent="0.3">
      <c r="G10" t="s">
        <v>1081</v>
      </c>
      <c r="H10">
        <f>_xlfn.XLOOKUP(A52,E41:E45,G41:G45)</f>
        <v>20872</v>
      </c>
    </row>
    <row r="11" spans="1:10" x14ac:dyDescent="0.3">
      <c r="A11" t="s">
        <v>1042</v>
      </c>
      <c r="B11" t="s">
        <v>1043</v>
      </c>
      <c r="C11" t="s">
        <v>1044</v>
      </c>
      <c r="D11" t="s">
        <v>1045</v>
      </c>
      <c r="E11" t="s">
        <v>1046</v>
      </c>
    </row>
    <row r="12" spans="1:10" x14ac:dyDescent="0.3">
      <c r="A12" s="22">
        <v>207</v>
      </c>
      <c r="B12" s="23">
        <v>20872</v>
      </c>
      <c r="C12" s="22">
        <v>17700</v>
      </c>
      <c r="D12" s="24">
        <v>3.8589371980676304</v>
      </c>
      <c r="E12" s="22">
        <v>60</v>
      </c>
      <c r="G12" t="s">
        <v>1079</v>
      </c>
      <c r="H12">
        <f>_xlfn.RANK.AVG(H9,F41:F45)</f>
        <v>2</v>
      </c>
    </row>
    <row r="13" spans="1:10" x14ac:dyDescent="0.3">
      <c r="G13" t="s">
        <v>1082</v>
      </c>
      <c r="H13">
        <f>_xlfn.RANK.AVG(H10,G41:G45)</f>
        <v>1</v>
      </c>
    </row>
    <row r="14" spans="1:10" x14ac:dyDescent="0.3">
      <c r="I14" t="s">
        <v>1083</v>
      </c>
    </row>
    <row r="15" spans="1:10" x14ac:dyDescent="0.3">
      <c r="J15" t="str">
        <f>"% of calls:"&amp;TEXT(H8,"0%")</f>
        <v>% of calls:21%</v>
      </c>
    </row>
    <row r="16" spans="1:10" x14ac:dyDescent="0.3">
      <c r="J16" t="str">
        <f>IF(COUNTA(A52:A56)&gt;1,"","Call rank: "&amp;H12)</f>
        <v>Call rank: 2</v>
      </c>
    </row>
    <row r="17" spans="1:10" x14ac:dyDescent="0.3">
      <c r="J17" t="str">
        <f>IF(COUNTA(A52:A56)&gt;1,"","Amount Rank: "&amp;H13)</f>
        <v>Amount Rank: 1</v>
      </c>
    </row>
    <row r="19" spans="1:10" x14ac:dyDescent="0.3">
      <c r="F19" s="25" t="s">
        <v>1047</v>
      </c>
      <c r="G19" t="s">
        <v>1042</v>
      </c>
    </row>
    <row r="20" spans="1:10" x14ac:dyDescent="0.3">
      <c r="F20" s="26" t="s">
        <v>1065</v>
      </c>
      <c r="G20" s="22">
        <v>30</v>
      </c>
    </row>
    <row r="21" spans="1:10" x14ac:dyDescent="0.3">
      <c r="F21" s="26" t="s">
        <v>1063</v>
      </c>
      <c r="G21" s="22">
        <v>34</v>
      </c>
    </row>
    <row r="22" spans="1:10" x14ac:dyDescent="0.3">
      <c r="A22" s="25" t="s">
        <v>1047</v>
      </c>
      <c r="B22" t="s">
        <v>1042</v>
      </c>
      <c r="C22" t="s">
        <v>1061</v>
      </c>
      <c r="F22" s="26" t="s">
        <v>1067</v>
      </c>
      <c r="G22" s="22">
        <v>26</v>
      </c>
    </row>
    <row r="23" spans="1:10" x14ac:dyDescent="0.3">
      <c r="A23" s="26" t="s">
        <v>1049</v>
      </c>
      <c r="B23" s="22">
        <v>13</v>
      </c>
      <c r="C23" s="22">
        <v>13</v>
      </c>
      <c r="F23" s="26" t="s">
        <v>1068</v>
      </c>
      <c r="G23" s="22">
        <v>38</v>
      </c>
    </row>
    <row r="24" spans="1:10" x14ac:dyDescent="0.3">
      <c r="A24" s="26" t="s">
        <v>1050</v>
      </c>
      <c r="B24" s="22">
        <v>13</v>
      </c>
      <c r="C24" s="22">
        <v>13</v>
      </c>
      <c r="F24" s="26" t="s">
        <v>1066</v>
      </c>
      <c r="G24" s="22">
        <v>27</v>
      </c>
    </row>
    <row r="25" spans="1:10" x14ac:dyDescent="0.3">
      <c r="A25" s="26" t="s">
        <v>1051</v>
      </c>
      <c r="B25" s="22">
        <v>28</v>
      </c>
      <c r="C25" s="22">
        <v>28</v>
      </c>
      <c r="F25" s="26" t="s">
        <v>1062</v>
      </c>
      <c r="G25" s="22">
        <v>27</v>
      </c>
    </row>
    <row r="26" spans="1:10" x14ac:dyDescent="0.3">
      <c r="A26" s="26" t="s">
        <v>1052</v>
      </c>
      <c r="B26" s="22">
        <v>24</v>
      </c>
      <c r="C26" s="22">
        <v>24</v>
      </c>
      <c r="F26" s="26" t="s">
        <v>1064</v>
      </c>
      <c r="G26" s="22">
        <v>25</v>
      </c>
    </row>
    <row r="27" spans="1:10" x14ac:dyDescent="0.3">
      <c r="A27" s="26" t="s">
        <v>1053</v>
      </c>
      <c r="B27" s="22">
        <v>23</v>
      </c>
      <c r="C27" s="22">
        <v>23</v>
      </c>
      <c r="F27" s="26" t="s">
        <v>1048</v>
      </c>
      <c r="G27" s="22">
        <v>207</v>
      </c>
    </row>
    <row r="28" spans="1:10" x14ac:dyDescent="0.3">
      <c r="A28" s="26" t="s">
        <v>1054</v>
      </c>
      <c r="B28" s="22">
        <v>17</v>
      </c>
      <c r="C28" s="22">
        <v>17</v>
      </c>
    </row>
    <row r="29" spans="1:10" x14ac:dyDescent="0.3">
      <c r="A29" s="26" t="s">
        <v>1055</v>
      </c>
      <c r="B29" s="22">
        <v>11</v>
      </c>
      <c r="C29" s="22">
        <v>11</v>
      </c>
    </row>
    <row r="30" spans="1:10" x14ac:dyDescent="0.3">
      <c r="A30" s="26" t="s">
        <v>1056</v>
      </c>
      <c r="B30" s="22">
        <v>11</v>
      </c>
      <c r="C30" s="22">
        <v>11</v>
      </c>
    </row>
    <row r="31" spans="1:10" x14ac:dyDescent="0.3">
      <c r="A31" s="26" t="s">
        <v>1057</v>
      </c>
      <c r="B31" s="22">
        <v>14</v>
      </c>
      <c r="C31" s="22">
        <v>14</v>
      </c>
    </row>
    <row r="32" spans="1:10" x14ac:dyDescent="0.3">
      <c r="A32" s="26" t="s">
        <v>1058</v>
      </c>
      <c r="B32" s="22">
        <v>30</v>
      </c>
      <c r="C32" s="22">
        <v>30</v>
      </c>
    </row>
    <row r="33" spans="1:9" x14ac:dyDescent="0.3">
      <c r="A33" s="26" t="s">
        <v>1059</v>
      </c>
      <c r="B33" s="22">
        <v>14</v>
      </c>
      <c r="C33" s="22">
        <v>14</v>
      </c>
    </row>
    <row r="34" spans="1:9" x14ac:dyDescent="0.3">
      <c r="A34" s="26" t="s">
        <v>1060</v>
      </c>
      <c r="B34" s="22">
        <v>9</v>
      </c>
      <c r="C34" s="22">
        <v>9</v>
      </c>
    </row>
    <row r="35" spans="1:9" x14ac:dyDescent="0.3">
      <c r="A35" s="26" t="s">
        <v>1048</v>
      </c>
      <c r="B35" s="22">
        <v>207</v>
      </c>
      <c r="C35" s="22">
        <v>207</v>
      </c>
    </row>
    <row r="37" spans="1:9" x14ac:dyDescent="0.3">
      <c r="H37" t="s">
        <v>1075</v>
      </c>
      <c r="I37" t="str">
        <f>A52</f>
        <v>R03</v>
      </c>
    </row>
    <row r="39" spans="1:9" x14ac:dyDescent="0.3">
      <c r="E39" t="s">
        <v>1069</v>
      </c>
    </row>
    <row r="40" spans="1:9" x14ac:dyDescent="0.3">
      <c r="E40" t="s">
        <v>1070</v>
      </c>
      <c r="F40" t="s">
        <v>1071</v>
      </c>
      <c r="G40" t="s">
        <v>1072</v>
      </c>
      <c r="H40" t="s">
        <v>1073</v>
      </c>
      <c r="I40" t="s">
        <v>1074</v>
      </c>
    </row>
    <row r="41" spans="1:9" x14ac:dyDescent="0.3">
      <c r="A41" s="25" t="s">
        <v>1047</v>
      </c>
      <c r="B41" t="s">
        <v>1042</v>
      </c>
      <c r="C41" t="s">
        <v>1043</v>
      </c>
      <c r="E41" t="str" cm="1">
        <f t="array" ref="E41:G45">A42:C46</f>
        <v>R01</v>
      </c>
      <c r="F41">
        <v>189</v>
      </c>
      <c r="G41" s="27">
        <v>18415</v>
      </c>
      <c r="H41" t="e">
        <f>IF(E41=I37,$F$41,NA())</f>
        <v>#N/A</v>
      </c>
      <c r="I41" t="e">
        <f>IF(E41=I37,G41,NA())</f>
        <v>#N/A</v>
      </c>
    </row>
    <row r="42" spans="1:9" x14ac:dyDescent="0.3">
      <c r="A42" s="26" t="s">
        <v>11</v>
      </c>
      <c r="B42" s="22">
        <v>189</v>
      </c>
      <c r="C42" s="23">
        <v>18415</v>
      </c>
      <c r="E42" t="str">
        <v>R02</v>
      </c>
      <c r="F42">
        <v>218</v>
      </c>
      <c r="G42" s="27">
        <v>20581</v>
      </c>
      <c r="H42" t="e">
        <f>IF(E42=I37,$F$41,NA())</f>
        <v>#N/A</v>
      </c>
      <c r="I42" t="e">
        <f>IF(E42=I37,G42,NA())</f>
        <v>#N/A</v>
      </c>
    </row>
    <row r="43" spans="1:9" x14ac:dyDescent="0.3">
      <c r="A43" s="26" t="s">
        <v>9</v>
      </c>
      <c r="B43" s="22">
        <v>218</v>
      </c>
      <c r="C43" s="23">
        <v>20581</v>
      </c>
      <c r="E43" t="str">
        <v>R03</v>
      </c>
      <c r="F43">
        <v>207</v>
      </c>
      <c r="G43" s="27">
        <v>20872</v>
      </c>
      <c r="H43">
        <f>IF(E43=I37,$F$41,NA())</f>
        <v>189</v>
      </c>
      <c r="I43">
        <f>IF(E43=I37,G43,NA())</f>
        <v>20872</v>
      </c>
    </row>
    <row r="44" spans="1:9" x14ac:dyDescent="0.3">
      <c r="A44" s="26" t="s">
        <v>6</v>
      </c>
      <c r="B44" s="22">
        <v>207</v>
      </c>
      <c r="C44" s="23">
        <v>20872</v>
      </c>
      <c r="E44" t="str">
        <v>R04</v>
      </c>
      <c r="F44">
        <v>186</v>
      </c>
      <c r="G44" s="27">
        <v>16651</v>
      </c>
      <c r="H44" t="e">
        <f>IF(E44=I37,$F$41,NA())</f>
        <v>#N/A</v>
      </c>
      <c r="I44" t="e">
        <f>IF(E44=I37,G44,NA())</f>
        <v>#N/A</v>
      </c>
    </row>
    <row r="45" spans="1:9" x14ac:dyDescent="0.3">
      <c r="A45" s="26" t="s">
        <v>13</v>
      </c>
      <c r="B45" s="22">
        <v>186</v>
      </c>
      <c r="C45" s="23">
        <v>16651</v>
      </c>
      <c r="E45" t="str">
        <v>R05</v>
      </c>
      <c r="F45">
        <v>200</v>
      </c>
      <c r="G45" s="27">
        <v>20104</v>
      </c>
      <c r="H45" t="e">
        <f>IF(E45=I37,$F$41,NA())</f>
        <v>#N/A</v>
      </c>
      <c r="I45" t="e">
        <f>IF(E45=I37,G45,NA())</f>
        <v>#N/A</v>
      </c>
    </row>
    <row r="46" spans="1:9" x14ac:dyDescent="0.3">
      <c r="A46" s="26" t="s">
        <v>10</v>
      </c>
      <c r="B46" s="22">
        <v>200</v>
      </c>
      <c r="C46" s="23">
        <v>20104</v>
      </c>
    </row>
    <row r="47" spans="1:9" x14ac:dyDescent="0.3">
      <c r="A47" s="26" t="s">
        <v>1048</v>
      </c>
      <c r="B47" s="22">
        <v>1000</v>
      </c>
      <c r="C47" s="23">
        <v>96623</v>
      </c>
    </row>
    <row r="51" spans="1:4" x14ac:dyDescent="0.3">
      <c r="A51" s="25" t="s">
        <v>1047</v>
      </c>
    </row>
    <row r="52" spans="1:4" x14ac:dyDescent="0.3">
      <c r="A52" s="26" t="s">
        <v>6</v>
      </c>
    </row>
    <row r="60" spans="1:4" x14ac:dyDescent="0.3">
      <c r="A60" s="25" t="s">
        <v>1042</v>
      </c>
      <c r="B60" s="25" t="s">
        <v>1076</v>
      </c>
    </row>
    <row r="61" spans="1:4" x14ac:dyDescent="0.3">
      <c r="A61" s="25" t="s">
        <v>1047</v>
      </c>
      <c r="B61" t="s">
        <v>999</v>
      </c>
      <c r="C61" t="s">
        <v>998</v>
      </c>
      <c r="D61" t="s">
        <v>1048</v>
      </c>
    </row>
    <row r="62" spans="1:4" x14ac:dyDescent="0.3">
      <c r="A62" s="26" t="s">
        <v>1002</v>
      </c>
      <c r="B62" s="22">
        <v>144</v>
      </c>
      <c r="C62" s="22">
        <v>132</v>
      </c>
      <c r="D62" s="22">
        <v>276</v>
      </c>
    </row>
    <row r="63" spans="1:4" x14ac:dyDescent="0.3">
      <c r="A63" s="26" t="s">
        <v>1001</v>
      </c>
      <c r="B63" s="22">
        <v>326</v>
      </c>
      <c r="C63" s="22">
        <v>63</v>
      </c>
      <c r="D63" s="22">
        <v>389</v>
      </c>
    </row>
    <row r="64" spans="1:4" x14ac:dyDescent="0.3">
      <c r="A64" s="26" t="s">
        <v>1000</v>
      </c>
      <c r="B64" s="22">
        <v>129</v>
      </c>
      <c r="C64" s="22">
        <v>206</v>
      </c>
      <c r="D64" s="22">
        <v>335</v>
      </c>
    </row>
    <row r="65" spans="1:6" x14ac:dyDescent="0.3">
      <c r="A65" s="26" t="s">
        <v>1048</v>
      </c>
      <c r="B65" s="22">
        <v>599</v>
      </c>
      <c r="C65" s="22">
        <v>401</v>
      </c>
      <c r="D65" s="22">
        <v>1000</v>
      </c>
    </row>
    <row r="68" spans="1:6" x14ac:dyDescent="0.3">
      <c r="A68" s="25" t="s">
        <v>1047</v>
      </c>
      <c r="B68" t="s">
        <v>1042</v>
      </c>
    </row>
    <row r="69" spans="1:6" x14ac:dyDescent="0.3">
      <c r="A69" s="26">
        <v>0</v>
      </c>
      <c r="B69" s="22">
        <v>1</v>
      </c>
    </row>
    <row r="70" spans="1:6" x14ac:dyDescent="0.3">
      <c r="A70" s="26">
        <v>1</v>
      </c>
      <c r="B70" s="22">
        <v>1</v>
      </c>
    </row>
    <row r="71" spans="1:6" x14ac:dyDescent="0.3">
      <c r="A71" s="26">
        <v>2</v>
      </c>
      <c r="B71" s="22">
        <v>11</v>
      </c>
    </row>
    <row r="72" spans="1:6" x14ac:dyDescent="0.3">
      <c r="A72" s="26">
        <v>3</v>
      </c>
      <c r="B72" s="22">
        <v>46</v>
      </c>
    </row>
    <row r="73" spans="1:6" x14ac:dyDescent="0.3">
      <c r="A73" s="26">
        <v>4</v>
      </c>
      <c r="B73" s="22">
        <v>88</v>
      </c>
    </row>
    <row r="74" spans="1:6" x14ac:dyDescent="0.3">
      <c r="A74" s="26">
        <v>5</v>
      </c>
      <c r="B74" s="22">
        <v>60</v>
      </c>
    </row>
    <row r="75" spans="1:6" x14ac:dyDescent="0.3">
      <c r="A75" s="26" t="s">
        <v>1048</v>
      </c>
      <c r="B75" s="22">
        <v>207</v>
      </c>
    </row>
    <row r="78" spans="1:6" x14ac:dyDescent="0.3">
      <c r="A78" s="25" t="s">
        <v>1043</v>
      </c>
      <c r="B78" s="25" t="s">
        <v>1076</v>
      </c>
    </row>
    <row r="79" spans="1:6" x14ac:dyDescent="0.3">
      <c r="A79" s="25" t="s">
        <v>1047</v>
      </c>
      <c r="B79" t="s">
        <v>11</v>
      </c>
      <c r="C79" t="s">
        <v>9</v>
      </c>
      <c r="D79" t="s">
        <v>6</v>
      </c>
      <c r="E79" t="s">
        <v>13</v>
      </c>
      <c r="F79" t="s">
        <v>10</v>
      </c>
    </row>
    <row r="80" spans="1:6" x14ac:dyDescent="0.3">
      <c r="A80" s="26" t="s">
        <v>1002</v>
      </c>
    </row>
    <row r="81" spans="1:6" x14ac:dyDescent="0.3">
      <c r="A81" s="28" t="s">
        <v>20</v>
      </c>
      <c r="B81" s="23">
        <v>891</v>
      </c>
      <c r="C81" s="23">
        <v>1332</v>
      </c>
      <c r="D81" s="23">
        <v>1282</v>
      </c>
      <c r="E81" s="23">
        <v>739</v>
      </c>
      <c r="F81" s="23">
        <v>560</v>
      </c>
    </row>
    <row r="82" spans="1:6" x14ac:dyDescent="0.3">
      <c r="A82" s="28" t="s">
        <v>12</v>
      </c>
      <c r="B82" s="23">
        <v>1991</v>
      </c>
      <c r="C82" s="23">
        <v>1886</v>
      </c>
      <c r="D82" s="23">
        <v>1206</v>
      </c>
      <c r="E82" s="23">
        <v>884</v>
      </c>
      <c r="F82" s="23">
        <v>1722</v>
      </c>
    </row>
    <row r="83" spans="1:6" x14ac:dyDescent="0.3">
      <c r="A83" s="28" t="s">
        <v>8</v>
      </c>
      <c r="B83" s="23">
        <v>1163</v>
      </c>
      <c r="C83" s="23">
        <v>1180</v>
      </c>
      <c r="D83" s="23">
        <v>1616</v>
      </c>
      <c r="E83" s="23">
        <v>1043</v>
      </c>
      <c r="F83" s="23">
        <v>1747</v>
      </c>
    </row>
    <row r="84" spans="1:6" x14ac:dyDescent="0.3">
      <c r="A84" s="28" t="s">
        <v>16</v>
      </c>
      <c r="B84" s="23">
        <v>1438</v>
      </c>
      <c r="C84" s="23">
        <v>1616</v>
      </c>
      <c r="D84" s="23">
        <v>866</v>
      </c>
      <c r="E84" s="23">
        <v>829</v>
      </c>
      <c r="F84" s="23">
        <v>2070</v>
      </c>
    </row>
    <row r="85" spans="1:6" x14ac:dyDescent="0.3">
      <c r="A85" s="26" t="s">
        <v>1001</v>
      </c>
    </row>
    <row r="86" spans="1:6" x14ac:dyDescent="0.3">
      <c r="A86" s="28" t="s">
        <v>24</v>
      </c>
      <c r="B86" s="23">
        <v>1233</v>
      </c>
      <c r="C86" s="23">
        <v>223</v>
      </c>
      <c r="D86" s="23">
        <v>1680</v>
      </c>
      <c r="E86" s="23">
        <v>990</v>
      </c>
      <c r="F86" s="23">
        <v>1508</v>
      </c>
    </row>
    <row r="87" spans="1:6" x14ac:dyDescent="0.3">
      <c r="A87" s="28" t="s">
        <v>15</v>
      </c>
      <c r="B87" s="23">
        <v>1598</v>
      </c>
      <c r="C87" s="23">
        <v>1907</v>
      </c>
      <c r="D87" s="23">
        <v>869</v>
      </c>
      <c r="E87" s="23">
        <v>1426</v>
      </c>
      <c r="F87" s="23">
        <v>1416</v>
      </c>
    </row>
    <row r="88" spans="1:6" x14ac:dyDescent="0.3">
      <c r="A88" s="28" t="s">
        <v>5</v>
      </c>
      <c r="B88" s="23">
        <v>900</v>
      </c>
      <c r="C88" s="23">
        <v>1016</v>
      </c>
      <c r="D88" s="23">
        <v>960</v>
      </c>
      <c r="E88" s="23">
        <v>940</v>
      </c>
      <c r="F88" s="23">
        <v>1193</v>
      </c>
    </row>
    <row r="89" spans="1:6" x14ac:dyDescent="0.3">
      <c r="A89" s="28" t="s">
        <v>18</v>
      </c>
      <c r="B89" s="23">
        <v>900</v>
      </c>
      <c r="C89" s="23">
        <v>1470</v>
      </c>
      <c r="D89" s="23">
        <v>1617</v>
      </c>
      <c r="E89" s="23">
        <v>1314</v>
      </c>
      <c r="F89" s="23">
        <v>941</v>
      </c>
    </row>
    <row r="90" spans="1:6" x14ac:dyDescent="0.3">
      <c r="A90" s="28" t="s">
        <v>14</v>
      </c>
      <c r="B90" s="23">
        <v>1255</v>
      </c>
      <c r="C90" s="23">
        <v>516</v>
      </c>
      <c r="D90" s="23">
        <v>1874</v>
      </c>
      <c r="E90" s="23">
        <v>1863</v>
      </c>
      <c r="F90" s="23">
        <v>1722</v>
      </c>
    </row>
    <row r="91" spans="1:6" x14ac:dyDescent="0.3">
      <c r="A91" s="28" t="s">
        <v>19</v>
      </c>
      <c r="B91" s="23">
        <v>1138</v>
      </c>
      <c r="C91" s="23">
        <v>1898</v>
      </c>
      <c r="D91" s="23">
        <v>1482</v>
      </c>
      <c r="E91" s="23">
        <v>846</v>
      </c>
      <c r="F91" s="23">
        <v>1154</v>
      </c>
    </row>
    <row r="92" spans="1:6" x14ac:dyDescent="0.3">
      <c r="A92" s="26" t="s">
        <v>1000</v>
      </c>
    </row>
    <row r="93" spans="1:6" x14ac:dyDescent="0.3">
      <c r="A93" s="28" t="s">
        <v>17</v>
      </c>
      <c r="B93" s="23">
        <v>1655</v>
      </c>
      <c r="C93" s="23">
        <v>805</v>
      </c>
      <c r="D93" s="23">
        <v>2263</v>
      </c>
      <c r="E93" s="23">
        <v>987</v>
      </c>
      <c r="F93" s="23">
        <v>1075</v>
      </c>
    </row>
    <row r="94" spans="1:6" x14ac:dyDescent="0.3">
      <c r="A94" s="28" t="s">
        <v>23</v>
      </c>
      <c r="B94" s="23">
        <v>1104</v>
      </c>
      <c r="C94" s="23">
        <v>2280</v>
      </c>
      <c r="D94" s="23">
        <v>1445</v>
      </c>
      <c r="E94" s="23">
        <v>1722</v>
      </c>
      <c r="F94" s="23">
        <v>1196</v>
      </c>
    </row>
    <row r="95" spans="1:6" x14ac:dyDescent="0.3">
      <c r="A95" s="28" t="s">
        <v>7</v>
      </c>
      <c r="B95" s="23">
        <v>372</v>
      </c>
      <c r="C95" s="23">
        <v>1818</v>
      </c>
      <c r="D95" s="23">
        <v>1346</v>
      </c>
      <c r="E95" s="23">
        <v>1156</v>
      </c>
      <c r="F95" s="23">
        <v>1484</v>
      </c>
    </row>
    <row r="96" spans="1:6" x14ac:dyDescent="0.3">
      <c r="A96" s="28" t="s">
        <v>22</v>
      </c>
      <c r="B96" s="23">
        <v>1415</v>
      </c>
      <c r="C96" s="23">
        <v>1271</v>
      </c>
      <c r="D96" s="23">
        <v>1214</v>
      </c>
      <c r="E96" s="23">
        <v>1135</v>
      </c>
      <c r="F96" s="23">
        <v>1566</v>
      </c>
    </row>
    <row r="97" spans="1:6" x14ac:dyDescent="0.3">
      <c r="A97" s="28" t="s">
        <v>21</v>
      </c>
      <c r="B97" s="23">
        <v>1362</v>
      </c>
      <c r="C97" s="23">
        <v>1363</v>
      </c>
      <c r="D97" s="23">
        <v>1152</v>
      </c>
      <c r="E97" s="23">
        <v>777</v>
      </c>
      <c r="F97" s="23">
        <v>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73" zoomScaleNormal="115" workbookViewId="0">
      <selection activeCell="H23" sqref="H23"/>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21"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544F-1099-4CD8-8A29-1917362778B7}">
  <dimension ref="A1:AH51"/>
  <sheetViews>
    <sheetView zoomScale="59" zoomScaleNormal="81" workbookViewId="0">
      <selection activeCell="B26" sqref="B26"/>
    </sheetView>
  </sheetViews>
  <sheetFormatPr defaultRowHeight="14.4" x14ac:dyDescent="0.3"/>
  <cols>
    <col min="1" max="1" width="4" customWidth="1"/>
    <col min="2" max="2" width="4.69921875" customWidth="1"/>
    <col min="16" max="16" width="16.19921875" customWidth="1"/>
    <col min="17" max="17" width="1.296875" customWidth="1"/>
    <col min="18" max="18" width="0.3984375" customWidth="1"/>
    <col min="19" max="19" width="0.8984375" customWidth="1"/>
    <col min="20" max="20" width="20.5" customWidth="1"/>
    <col min="21" max="21" width="16.09765625" customWidth="1"/>
    <col min="22" max="22" width="14.69921875" customWidth="1"/>
    <col min="23" max="23" width="12.3984375" customWidth="1"/>
    <col min="24" max="24" width="13" customWidth="1"/>
    <col min="25" max="25" width="12.3984375" customWidth="1"/>
  </cols>
  <sheetData>
    <row r="1" spans="1:34" ht="31.2" x14ac:dyDescent="0.6">
      <c r="A1" s="44" t="s">
        <v>1084</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row>
    <row r="2" spans="1:34"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row>
    <row r="3" spans="1:34"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row>
    <row r="4" spans="1:34"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row>
    <row r="5" spans="1:34"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6" spans="1:34"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row>
    <row r="7" spans="1:34"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row>
    <row r="8" spans="1:34"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row>
    <row r="9" spans="1:34"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row>
    <row r="10" spans="1:34"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row>
    <row r="11" spans="1:34"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row>
    <row r="12" spans="1:34"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row>
    <row r="13" spans="1:34"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row>
    <row r="14" spans="1:34"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row>
    <row r="15" spans="1:34"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row>
    <row r="16" spans="1:34"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row>
    <row r="17" spans="1:34"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row>
    <row r="18" spans="1:34"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row>
    <row r="19" spans="1:34"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row>
    <row r="20" spans="1:34"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row>
    <row r="21" spans="1:34"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row>
    <row r="22" spans="1:34"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row>
    <row r="23" spans="1:34" ht="18" x14ac:dyDescent="0.35">
      <c r="A23" s="20"/>
      <c r="B23" s="20"/>
      <c r="C23" s="20"/>
      <c r="D23" s="20"/>
      <c r="E23" s="20"/>
      <c r="F23" s="20"/>
      <c r="G23" s="20"/>
      <c r="H23" s="20"/>
      <c r="I23" s="20"/>
      <c r="J23" s="20"/>
      <c r="K23" s="20"/>
      <c r="L23" s="20"/>
      <c r="M23" s="20"/>
      <c r="N23" s="20"/>
      <c r="O23" s="20"/>
      <c r="P23" s="20"/>
      <c r="Q23" s="20"/>
      <c r="R23" s="20"/>
      <c r="S23" s="20"/>
      <c r="T23" s="29"/>
      <c r="U23" s="30" t="str" cm="1">
        <f t="array" ref="U23:Y23">pivots!B79:F79</f>
        <v>R01</v>
      </c>
      <c r="V23" s="30" t="str">
        <v>R02</v>
      </c>
      <c r="W23" s="30" t="str">
        <v>R03</v>
      </c>
      <c r="X23" s="30" t="str">
        <v>R04</v>
      </c>
      <c r="Y23" s="31" t="str">
        <v>R05</v>
      </c>
      <c r="Z23" s="20"/>
      <c r="AA23" s="20"/>
      <c r="AB23" s="20"/>
      <c r="AC23" s="20"/>
      <c r="AD23" s="20"/>
      <c r="AE23" s="20"/>
      <c r="AF23" s="20"/>
      <c r="AG23" s="20"/>
      <c r="AH23" s="20"/>
    </row>
    <row r="24" spans="1:34" ht="18" x14ac:dyDescent="0.35">
      <c r="A24" s="20"/>
      <c r="B24" s="20"/>
      <c r="C24" s="20"/>
      <c r="D24" s="20"/>
      <c r="E24" s="20"/>
      <c r="F24" s="20"/>
      <c r="G24" s="20"/>
      <c r="H24" s="20"/>
      <c r="I24" s="20"/>
      <c r="J24" s="20"/>
      <c r="K24" s="20"/>
      <c r="L24" s="20"/>
      <c r="M24" s="20"/>
      <c r="N24" s="20"/>
      <c r="O24" s="20"/>
      <c r="P24" s="20"/>
      <c r="Q24" s="20"/>
      <c r="R24" s="20"/>
      <c r="S24" s="20"/>
      <c r="T24" s="32" t="str" cm="1">
        <f t="array" ref="T24:Y41">IF(pivots!A80:F97="","",pivots!A80:F97)</f>
        <v>Cincinnati</v>
      </c>
      <c r="U24" s="33" t="str">
        <v/>
      </c>
      <c r="V24" s="33" t="str">
        <v/>
      </c>
      <c r="W24" s="33" t="str">
        <v/>
      </c>
      <c r="X24" s="33" t="str">
        <v/>
      </c>
      <c r="Y24" s="34" t="str">
        <v/>
      </c>
      <c r="Z24" s="20"/>
      <c r="AA24" s="20"/>
      <c r="AB24" s="20"/>
      <c r="AC24" s="20"/>
      <c r="AD24" s="20"/>
      <c r="AE24" s="20"/>
      <c r="AF24" s="20"/>
      <c r="AG24" s="20"/>
      <c r="AH24" s="20"/>
    </row>
    <row r="25" spans="1:34" ht="18" x14ac:dyDescent="0.35">
      <c r="A25" s="20"/>
      <c r="B25" s="20"/>
      <c r="C25" s="20"/>
      <c r="D25" s="20"/>
      <c r="E25" s="20"/>
      <c r="F25" s="20"/>
      <c r="G25" s="20"/>
      <c r="H25" s="20"/>
      <c r="I25" s="20"/>
      <c r="J25" s="20"/>
      <c r="K25" s="20"/>
      <c r="L25" s="20"/>
      <c r="M25" s="20"/>
      <c r="N25" s="20"/>
      <c r="O25" s="20"/>
      <c r="P25" s="20"/>
      <c r="Q25" s="20"/>
      <c r="R25" s="20"/>
      <c r="S25" s="20"/>
      <c r="T25" s="35" t="str">
        <v>C0003</v>
      </c>
      <c r="U25" s="36">
        <v>891</v>
      </c>
      <c r="V25" s="36">
        <v>1332</v>
      </c>
      <c r="W25" s="36">
        <v>1282</v>
      </c>
      <c r="X25" s="36">
        <v>739</v>
      </c>
      <c r="Y25" s="37">
        <v>560</v>
      </c>
      <c r="Z25" s="20"/>
      <c r="AA25" s="20"/>
      <c r="AB25" s="20"/>
      <c r="AC25" s="20"/>
      <c r="AD25" s="20"/>
      <c r="AE25" s="20"/>
      <c r="AF25" s="20"/>
      <c r="AG25" s="20"/>
      <c r="AH25" s="20"/>
    </row>
    <row r="26" spans="1:34" ht="18" x14ac:dyDescent="0.35">
      <c r="A26" s="20"/>
      <c r="B26" s="20"/>
      <c r="C26" s="20"/>
      <c r="D26" s="20"/>
      <c r="E26" s="20"/>
      <c r="F26" s="20"/>
      <c r="G26" s="20"/>
      <c r="H26" s="20"/>
      <c r="I26" s="20"/>
      <c r="J26" s="20"/>
      <c r="K26" s="20"/>
      <c r="L26" s="20"/>
      <c r="M26" s="20"/>
      <c r="N26" s="20"/>
      <c r="O26" s="20"/>
      <c r="P26" s="20"/>
      <c r="Q26" s="20"/>
      <c r="R26" s="20"/>
      <c r="S26" s="20"/>
      <c r="T26" s="35" t="str">
        <v>C0004</v>
      </c>
      <c r="U26" s="36">
        <v>1991</v>
      </c>
      <c r="V26" s="36">
        <v>1886</v>
      </c>
      <c r="W26" s="36">
        <v>1206</v>
      </c>
      <c r="X26" s="36">
        <v>884</v>
      </c>
      <c r="Y26" s="37">
        <v>1722</v>
      </c>
      <c r="Z26" s="20"/>
      <c r="AA26" s="20"/>
      <c r="AB26" s="20"/>
      <c r="AC26" s="20"/>
      <c r="AD26" s="20"/>
      <c r="AE26" s="20"/>
      <c r="AF26" s="20"/>
      <c r="AG26" s="20"/>
      <c r="AH26" s="20"/>
    </row>
    <row r="27" spans="1:34" ht="18" x14ac:dyDescent="0.35">
      <c r="A27" s="20"/>
      <c r="B27" s="20"/>
      <c r="C27" s="20"/>
      <c r="D27" s="20"/>
      <c r="E27" s="20"/>
      <c r="F27" s="20"/>
      <c r="G27" s="20"/>
      <c r="H27" s="20"/>
      <c r="I27" s="20"/>
      <c r="J27" s="20"/>
      <c r="K27" s="20"/>
      <c r="L27" s="20"/>
      <c r="M27" s="20"/>
      <c r="N27" s="20"/>
      <c r="O27" s="20"/>
      <c r="P27" s="20"/>
      <c r="Q27" s="20"/>
      <c r="R27" s="20"/>
      <c r="S27" s="20"/>
      <c r="T27" s="35" t="str">
        <v>C0011</v>
      </c>
      <c r="U27" s="36">
        <v>1163</v>
      </c>
      <c r="V27" s="36">
        <v>1180</v>
      </c>
      <c r="W27" s="36">
        <v>1616</v>
      </c>
      <c r="X27" s="36">
        <v>1043</v>
      </c>
      <c r="Y27" s="37">
        <v>1747</v>
      </c>
      <c r="Z27" s="20"/>
      <c r="AA27" s="20"/>
      <c r="AB27" s="20"/>
      <c r="AC27" s="20"/>
      <c r="AD27" s="20"/>
      <c r="AE27" s="20"/>
      <c r="AF27" s="20"/>
      <c r="AG27" s="20"/>
      <c r="AH27" s="20"/>
    </row>
    <row r="28" spans="1:34" ht="18" x14ac:dyDescent="0.35">
      <c r="A28" s="20"/>
      <c r="B28" s="20"/>
      <c r="C28" s="20"/>
      <c r="D28" s="20"/>
      <c r="E28" s="20"/>
      <c r="F28" s="20"/>
      <c r="G28" s="20"/>
      <c r="H28" s="20"/>
      <c r="I28" s="20"/>
      <c r="J28" s="20"/>
      <c r="K28" s="20"/>
      <c r="L28" s="20"/>
      <c r="M28" s="20"/>
      <c r="N28" s="20"/>
      <c r="O28" s="20"/>
      <c r="P28" s="20"/>
      <c r="Q28" s="20"/>
      <c r="R28" s="20"/>
      <c r="S28" s="20"/>
      <c r="T28" s="35" t="str">
        <v>C0012</v>
      </c>
      <c r="U28" s="36">
        <v>1438</v>
      </c>
      <c r="V28" s="36">
        <v>1616</v>
      </c>
      <c r="W28" s="36">
        <v>866</v>
      </c>
      <c r="X28" s="36">
        <v>829</v>
      </c>
      <c r="Y28" s="37">
        <v>2070</v>
      </c>
      <c r="Z28" s="20"/>
      <c r="AA28" s="20"/>
      <c r="AB28" s="20"/>
      <c r="AC28" s="20"/>
      <c r="AD28" s="20"/>
      <c r="AE28" s="20"/>
      <c r="AF28" s="20"/>
      <c r="AG28" s="20"/>
      <c r="AH28" s="20"/>
    </row>
    <row r="29" spans="1:34" ht="18" x14ac:dyDescent="0.35">
      <c r="A29" s="20"/>
      <c r="B29" s="20"/>
      <c r="C29" s="20"/>
      <c r="D29" s="20"/>
      <c r="E29" s="20"/>
      <c r="F29" s="20"/>
      <c r="G29" s="20"/>
      <c r="H29" s="20"/>
      <c r="I29" s="20"/>
      <c r="J29" s="20"/>
      <c r="K29" s="20"/>
      <c r="L29" s="20"/>
      <c r="M29" s="20"/>
      <c r="N29" s="20"/>
      <c r="O29" s="20"/>
      <c r="P29" s="20"/>
      <c r="Q29" s="20"/>
      <c r="R29" s="20"/>
      <c r="S29" s="20"/>
      <c r="T29" s="35" t="str">
        <v>Cleveland</v>
      </c>
      <c r="U29" s="36" t="str">
        <v/>
      </c>
      <c r="V29" s="36" t="str">
        <v/>
      </c>
      <c r="W29" s="36" t="str">
        <v/>
      </c>
      <c r="X29" s="36" t="str">
        <v/>
      </c>
      <c r="Y29" s="37" t="str">
        <v/>
      </c>
      <c r="Z29" s="20"/>
      <c r="AA29" s="20"/>
      <c r="AB29" s="20"/>
      <c r="AC29" s="20"/>
      <c r="AD29" s="20"/>
      <c r="AE29" s="20"/>
      <c r="AF29" s="20"/>
      <c r="AG29" s="20"/>
      <c r="AH29" s="20"/>
    </row>
    <row r="30" spans="1:34" ht="18" x14ac:dyDescent="0.35">
      <c r="A30" s="20"/>
      <c r="B30" s="20"/>
      <c r="C30" s="20"/>
      <c r="D30" s="20"/>
      <c r="E30" s="20"/>
      <c r="F30" s="20"/>
      <c r="G30" s="20"/>
      <c r="H30" s="20"/>
      <c r="I30" s="20"/>
      <c r="J30" s="20"/>
      <c r="K30" s="20"/>
      <c r="L30" s="20"/>
      <c r="M30" s="20"/>
      <c r="N30" s="20"/>
      <c r="O30" s="20"/>
      <c r="P30" s="20"/>
      <c r="Q30" s="20"/>
      <c r="R30" s="20"/>
      <c r="S30" s="20"/>
      <c r="T30" s="35" t="str">
        <v>C0002</v>
      </c>
      <c r="U30" s="36">
        <v>1233</v>
      </c>
      <c r="V30" s="36">
        <v>223</v>
      </c>
      <c r="W30" s="36">
        <v>1680</v>
      </c>
      <c r="X30" s="36">
        <v>990</v>
      </c>
      <c r="Y30" s="37">
        <v>1508</v>
      </c>
      <c r="Z30" s="20"/>
      <c r="AA30" s="20"/>
      <c r="AB30" s="20"/>
      <c r="AC30" s="20"/>
      <c r="AD30" s="20"/>
      <c r="AE30" s="20"/>
      <c r="AF30" s="20"/>
      <c r="AG30" s="20"/>
      <c r="AH30" s="20"/>
    </row>
    <row r="31" spans="1:34" ht="18" x14ac:dyDescent="0.35">
      <c r="A31" s="20"/>
      <c r="B31" s="20"/>
      <c r="C31" s="20"/>
      <c r="D31" s="20"/>
      <c r="E31" s="20"/>
      <c r="F31" s="20"/>
      <c r="G31" s="20"/>
      <c r="H31" s="20"/>
      <c r="I31" s="20"/>
      <c r="J31" s="20"/>
      <c r="K31" s="20"/>
      <c r="L31" s="20"/>
      <c r="M31" s="20"/>
      <c r="N31" s="20"/>
      <c r="O31" s="20"/>
      <c r="P31" s="20"/>
      <c r="Q31" s="20"/>
      <c r="R31" s="20"/>
      <c r="S31" s="20"/>
      <c r="T31" s="35" t="str">
        <v>C0007</v>
      </c>
      <c r="U31" s="36">
        <v>1598</v>
      </c>
      <c r="V31" s="36">
        <v>1907</v>
      </c>
      <c r="W31" s="36">
        <v>869</v>
      </c>
      <c r="X31" s="36">
        <v>1426</v>
      </c>
      <c r="Y31" s="37">
        <v>1416</v>
      </c>
      <c r="Z31" s="20"/>
      <c r="AA31" s="20"/>
      <c r="AB31" s="20"/>
      <c r="AC31" s="20"/>
      <c r="AD31" s="20"/>
      <c r="AE31" s="20"/>
      <c r="AF31" s="20"/>
      <c r="AG31" s="20"/>
      <c r="AH31" s="20"/>
    </row>
    <row r="32" spans="1:34" ht="18" x14ac:dyDescent="0.35">
      <c r="A32" s="20"/>
      <c r="B32" s="20"/>
      <c r="C32" s="20"/>
      <c r="D32" s="20"/>
      <c r="E32" s="20"/>
      <c r="F32" s="20"/>
      <c r="G32" s="20"/>
      <c r="H32" s="20"/>
      <c r="I32" s="20"/>
      <c r="J32" s="20"/>
      <c r="K32" s="20"/>
      <c r="L32" s="20"/>
      <c r="M32" s="20"/>
      <c r="N32" s="20"/>
      <c r="O32" s="20"/>
      <c r="P32" s="20"/>
      <c r="Q32" s="20"/>
      <c r="R32" s="20"/>
      <c r="S32" s="20"/>
      <c r="T32" s="35" t="str">
        <v>C0008</v>
      </c>
      <c r="U32" s="36">
        <v>900</v>
      </c>
      <c r="V32" s="36">
        <v>1016</v>
      </c>
      <c r="W32" s="36">
        <v>960</v>
      </c>
      <c r="X32" s="36">
        <v>940</v>
      </c>
      <c r="Y32" s="37">
        <v>1193</v>
      </c>
      <c r="Z32" s="20"/>
      <c r="AA32" s="20"/>
      <c r="AB32" s="20"/>
      <c r="AC32" s="20"/>
      <c r="AD32" s="20"/>
      <c r="AE32" s="20"/>
      <c r="AF32" s="20"/>
      <c r="AG32" s="20"/>
      <c r="AH32" s="20"/>
    </row>
    <row r="33" spans="1:34" ht="18" x14ac:dyDescent="0.35">
      <c r="A33" s="20"/>
      <c r="B33" s="20"/>
      <c r="C33" s="20"/>
      <c r="D33" s="20"/>
      <c r="E33" s="20"/>
      <c r="F33" s="20"/>
      <c r="G33" s="20"/>
      <c r="H33" s="20"/>
      <c r="I33" s="20"/>
      <c r="J33" s="20"/>
      <c r="K33" s="20"/>
      <c r="L33" s="20"/>
      <c r="M33" s="20"/>
      <c r="N33" s="20"/>
      <c r="O33" s="20"/>
      <c r="P33" s="20"/>
      <c r="Q33" s="20"/>
      <c r="R33" s="20"/>
      <c r="S33" s="20"/>
      <c r="T33" s="35" t="str">
        <v>C0010</v>
      </c>
      <c r="U33" s="36">
        <v>900</v>
      </c>
      <c r="V33" s="36">
        <v>1470</v>
      </c>
      <c r="W33" s="36">
        <v>1617</v>
      </c>
      <c r="X33" s="36">
        <v>1314</v>
      </c>
      <c r="Y33" s="37">
        <v>941</v>
      </c>
      <c r="Z33" s="20"/>
      <c r="AA33" s="20"/>
      <c r="AB33" s="20"/>
      <c r="AC33" s="20"/>
      <c r="AD33" s="20"/>
      <c r="AE33" s="20"/>
      <c r="AF33" s="20"/>
      <c r="AG33" s="20"/>
      <c r="AH33" s="20"/>
    </row>
    <row r="34" spans="1:34" ht="18" x14ac:dyDescent="0.35">
      <c r="A34" s="20"/>
      <c r="B34" s="20"/>
      <c r="C34" s="20"/>
      <c r="D34" s="20"/>
      <c r="E34" s="20"/>
      <c r="F34" s="20"/>
      <c r="G34" s="20"/>
      <c r="H34" s="20"/>
      <c r="I34" s="20"/>
      <c r="J34" s="20"/>
      <c r="K34" s="20"/>
      <c r="L34" s="20"/>
      <c r="M34" s="20"/>
      <c r="N34" s="20"/>
      <c r="O34" s="20"/>
      <c r="P34" s="20"/>
      <c r="Q34" s="20"/>
      <c r="R34" s="20"/>
      <c r="S34" s="20"/>
      <c r="T34" s="35" t="str">
        <v>C0013</v>
      </c>
      <c r="U34" s="36">
        <v>1255</v>
      </c>
      <c r="V34" s="36">
        <v>516</v>
      </c>
      <c r="W34" s="36">
        <v>1874</v>
      </c>
      <c r="X34" s="36">
        <v>1863</v>
      </c>
      <c r="Y34" s="37">
        <v>1722</v>
      </c>
      <c r="Z34" s="20"/>
      <c r="AA34" s="20"/>
      <c r="AB34" s="20"/>
      <c r="AC34" s="20"/>
      <c r="AD34" s="20"/>
      <c r="AE34" s="20"/>
      <c r="AF34" s="20"/>
      <c r="AG34" s="20"/>
      <c r="AH34" s="20"/>
    </row>
    <row r="35" spans="1:34" ht="18" x14ac:dyDescent="0.35">
      <c r="A35" s="20"/>
      <c r="B35" s="20"/>
      <c r="C35" s="20"/>
      <c r="D35" s="20"/>
      <c r="E35" s="20"/>
      <c r="F35" s="20"/>
      <c r="G35" s="20"/>
      <c r="H35" s="20"/>
      <c r="I35" s="20"/>
      <c r="J35" s="20"/>
      <c r="K35" s="20"/>
      <c r="L35" s="20"/>
      <c r="M35" s="20"/>
      <c r="N35" s="20"/>
      <c r="O35" s="20"/>
      <c r="P35" s="20"/>
      <c r="Q35" s="20"/>
      <c r="R35" s="20"/>
      <c r="S35" s="20"/>
      <c r="T35" s="35" t="str">
        <v>C0015</v>
      </c>
      <c r="U35" s="36">
        <v>1138</v>
      </c>
      <c r="V35" s="36">
        <v>1898</v>
      </c>
      <c r="W35" s="36">
        <v>1482</v>
      </c>
      <c r="X35" s="36">
        <v>846</v>
      </c>
      <c r="Y35" s="37">
        <v>1154</v>
      </c>
      <c r="Z35" s="20"/>
      <c r="AA35" s="20"/>
      <c r="AB35" s="20"/>
      <c r="AC35" s="20"/>
      <c r="AD35" s="20"/>
      <c r="AE35" s="20"/>
      <c r="AF35" s="20"/>
      <c r="AG35" s="20"/>
      <c r="AH35" s="20"/>
    </row>
    <row r="36" spans="1:34" ht="23.4" x14ac:dyDescent="0.45">
      <c r="A36" s="20"/>
      <c r="B36" s="20"/>
      <c r="C36" s="20"/>
      <c r="D36" s="20"/>
      <c r="E36" s="20"/>
      <c r="F36" s="20"/>
      <c r="G36" s="20"/>
      <c r="H36" s="20"/>
      <c r="I36" s="20"/>
      <c r="J36" s="20"/>
      <c r="K36" s="20"/>
      <c r="L36" s="20"/>
      <c r="M36" s="20"/>
      <c r="N36" s="20"/>
      <c r="O36" s="42" t="str">
        <f>pivots!J15</f>
        <v>% of calls:21%</v>
      </c>
      <c r="P36" s="43"/>
      <c r="Q36" s="20"/>
      <c r="R36" s="20"/>
      <c r="S36" s="20"/>
      <c r="T36" s="35" t="str">
        <v>Columbus</v>
      </c>
      <c r="U36" s="36" t="str">
        <v/>
      </c>
      <c r="V36" s="36" t="str">
        <v/>
      </c>
      <c r="W36" s="36" t="str">
        <v/>
      </c>
      <c r="X36" s="36" t="str">
        <v/>
      </c>
      <c r="Y36" s="37" t="str">
        <v/>
      </c>
      <c r="Z36" s="20"/>
      <c r="AA36" s="20"/>
      <c r="AB36" s="20"/>
      <c r="AC36" s="20"/>
      <c r="AD36" s="20"/>
      <c r="AE36" s="20"/>
      <c r="AF36" s="20"/>
      <c r="AG36" s="20"/>
      <c r="AH36" s="20"/>
    </row>
    <row r="37" spans="1:34" ht="23.4" x14ac:dyDescent="0.45">
      <c r="A37" s="20"/>
      <c r="B37" s="20"/>
      <c r="C37" s="20"/>
      <c r="D37" s="20"/>
      <c r="E37" s="20"/>
      <c r="F37" s="20"/>
      <c r="G37" s="20"/>
      <c r="H37" s="20"/>
      <c r="I37" s="20"/>
      <c r="J37" s="20"/>
      <c r="K37" s="20"/>
      <c r="L37" s="20"/>
      <c r="M37" s="20"/>
      <c r="N37" s="20"/>
      <c r="O37" s="42" t="str">
        <f>pivots!J16</f>
        <v>Call rank: 2</v>
      </c>
      <c r="P37" s="43"/>
      <c r="Q37" s="20"/>
      <c r="R37" s="20"/>
      <c r="S37" s="20"/>
      <c r="T37" s="35" t="str">
        <v>C0001</v>
      </c>
      <c r="U37" s="36">
        <v>1655</v>
      </c>
      <c r="V37" s="36">
        <v>805</v>
      </c>
      <c r="W37" s="36">
        <v>2263</v>
      </c>
      <c r="X37" s="36">
        <v>987</v>
      </c>
      <c r="Y37" s="37">
        <v>1075</v>
      </c>
      <c r="Z37" s="20"/>
      <c r="AA37" s="20"/>
      <c r="AB37" s="20"/>
      <c r="AC37" s="20"/>
      <c r="AD37" s="20"/>
      <c r="AE37" s="20"/>
      <c r="AF37" s="20"/>
      <c r="AG37" s="20"/>
      <c r="AH37" s="20"/>
    </row>
    <row r="38" spans="1:34" ht="23.4" x14ac:dyDescent="0.45">
      <c r="A38" s="20"/>
      <c r="B38" s="20"/>
      <c r="C38" s="20"/>
      <c r="D38" s="20"/>
      <c r="E38" s="20"/>
      <c r="F38" s="20"/>
      <c r="G38" s="20"/>
      <c r="H38" s="20"/>
      <c r="I38" s="20"/>
      <c r="J38" s="20"/>
      <c r="K38" s="20"/>
      <c r="L38" s="20"/>
      <c r="M38" s="20"/>
      <c r="N38" s="20"/>
      <c r="O38" s="42" t="str">
        <f>pivots!J17</f>
        <v>Amount Rank: 1</v>
      </c>
      <c r="P38" s="43"/>
      <c r="Q38" s="20"/>
      <c r="R38" s="20"/>
      <c r="S38" s="20"/>
      <c r="T38" s="35" t="str">
        <v>C0005</v>
      </c>
      <c r="U38" s="36">
        <v>1104</v>
      </c>
      <c r="V38" s="36">
        <v>2280</v>
      </c>
      <c r="W38" s="36">
        <v>1445</v>
      </c>
      <c r="X38" s="36">
        <v>1722</v>
      </c>
      <c r="Y38" s="37">
        <v>1196</v>
      </c>
      <c r="Z38" s="20"/>
      <c r="AA38" s="20"/>
      <c r="AB38" s="20"/>
      <c r="AC38" s="20"/>
      <c r="AD38" s="20"/>
      <c r="AE38" s="20"/>
      <c r="AF38" s="20"/>
      <c r="AG38" s="20"/>
      <c r="AH38" s="20"/>
    </row>
    <row r="39" spans="1:34" ht="18" x14ac:dyDescent="0.35">
      <c r="A39" s="20"/>
      <c r="B39" s="20"/>
      <c r="C39" s="20"/>
      <c r="D39" s="20"/>
      <c r="E39" s="20"/>
      <c r="F39" s="20"/>
      <c r="G39" s="20"/>
      <c r="H39" s="20"/>
      <c r="I39" s="20"/>
      <c r="J39" s="20"/>
      <c r="K39" s="20"/>
      <c r="L39" s="20"/>
      <c r="M39" s="20"/>
      <c r="N39" s="20"/>
      <c r="O39" s="20"/>
      <c r="P39" s="20"/>
      <c r="Q39" s="20"/>
      <c r="R39" s="20"/>
      <c r="S39" s="20"/>
      <c r="T39" s="35" t="str">
        <v>C0006</v>
      </c>
      <c r="U39" s="36">
        <v>372</v>
      </c>
      <c r="V39" s="36">
        <v>1818</v>
      </c>
      <c r="W39" s="36">
        <v>1346</v>
      </c>
      <c r="X39" s="36">
        <v>1156</v>
      </c>
      <c r="Y39" s="37">
        <v>1484</v>
      </c>
      <c r="Z39" s="20"/>
      <c r="AA39" s="20"/>
      <c r="AB39" s="20"/>
      <c r="AC39" s="20"/>
      <c r="AD39" s="20"/>
      <c r="AE39" s="20"/>
      <c r="AF39" s="20"/>
      <c r="AG39" s="20"/>
      <c r="AH39" s="20"/>
    </row>
    <row r="40" spans="1:34" ht="18" x14ac:dyDescent="0.35">
      <c r="A40" s="20"/>
      <c r="B40" s="20"/>
      <c r="C40" s="20"/>
      <c r="D40" s="20"/>
      <c r="E40" s="20"/>
      <c r="F40" s="20"/>
      <c r="G40" s="20"/>
      <c r="H40" s="20"/>
      <c r="I40" s="20"/>
      <c r="J40" s="20"/>
      <c r="K40" s="20"/>
      <c r="L40" s="20"/>
      <c r="M40" s="20"/>
      <c r="N40" s="20"/>
      <c r="O40" s="20"/>
      <c r="P40" s="20"/>
      <c r="Q40" s="20"/>
      <c r="R40" s="20"/>
      <c r="S40" s="20"/>
      <c r="T40" s="35" t="str">
        <v>C0009</v>
      </c>
      <c r="U40" s="36">
        <v>1415</v>
      </c>
      <c r="V40" s="36">
        <v>1271</v>
      </c>
      <c r="W40" s="36">
        <v>1214</v>
      </c>
      <c r="X40" s="36">
        <v>1135</v>
      </c>
      <c r="Y40" s="37">
        <v>1566</v>
      </c>
      <c r="Z40" s="20"/>
      <c r="AA40" s="20"/>
      <c r="AB40" s="20"/>
      <c r="AC40" s="20"/>
      <c r="AD40" s="20"/>
      <c r="AE40" s="20"/>
      <c r="AF40" s="20"/>
      <c r="AG40" s="20"/>
      <c r="AH40" s="20"/>
    </row>
    <row r="41" spans="1:34" ht="18" x14ac:dyDescent="0.35">
      <c r="A41" s="20"/>
      <c r="B41" s="20"/>
      <c r="C41" s="20"/>
      <c r="D41" s="20"/>
      <c r="E41" s="20"/>
      <c r="F41" s="20"/>
      <c r="G41" s="20"/>
      <c r="H41" s="20"/>
      <c r="I41" s="20"/>
      <c r="J41" s="20"/>
      <c r="K41" s="20"/>
      <c r="L41" s="20"/>
      <c r="M41" s="20"/>
      <c r="N41" s="20"/>
      <c r="O41" s="20"/>
      <c r="P41" s="20"/>
      <c r="Q41" s="20"/>
      <c r="R41" s="20"/>
      <c r="S41" s="20"/>
      <c r="T41" s="38" t="str">
        <v>C0014</v>
      </c>
      <c r="U41" s="39">
        <v>1362</v>
      </c>
      <c r="V41" s="39">
        <v>1363</v>
      </c>
      <c r="W41" s="39">
        <v>1152</v>
      </c>
      <c r="X41" s="39">
        <v>777</v>
      </c>
      <c r="Y41" s="40">
        <v>750</v>
      </c>
      <c r="Z41" s="20"/>
      <c r="AA41" s="20"/>
      <c r="AB41" s="20"/>
      <c r="AC41" s="20"/>
      <c r="AD41" s="20"/>
      <c r="AE41" s="20"/>
      <c r="AF41" s="20"/>
      <c r="AG41" s="20"/>
      <c r="AH41" s="20"/>
    </row>
    <row r="42" spans="1:34"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row>
    <row r="43" spans="1:34"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row>
    <row r="44" spans="1:34"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row>
    <row r="45" spans="1:34"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row>
    <row r="46" spans="1:34"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row>
    <row r="47" spans="1:34"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row>
    <row r="48" spans="1:34"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spans="1:33"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spans="1:33"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spans="1:33"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sheetData>
  <conditionalFormatting sqref="U25:Y41">
    <cfRule type="dataBar" priority="2">
      <dataBar>
        <cfvo type="num" val="0"/>
        <cfvo type="formula" val="MAX($U$24:$Y$41)*2"/>
        <color theme="2" tint="-0.499984740745262"/>
      </dataBar>
      <extLst>
        <ext xmlns:x14="http://schemas.microsoft.com/office/spreadsheetml/2009/9/main" uri="{B025F937-C7B1-47D3-B67F-A62EFF666E3E}">
          <x14:id>{3B8A85F4-EF9C-4D16-84BD-275AB780FAE5}</x14:id>
        </ext>
      </extLst>
    </cfRule>
    <cfRule type="dataBar" priority="3">
      <dataBar>
        <cfvo type="min"/>
        <cfvo type="max"/>
        <color rgb="FF638EC6"/>
      </dataBar>
      <extLst>
        <ext xmlns:x14="http://schemas.microsoft.com/office/spreadsheetml/2009/9/main" uri="{B025F937-C7B1-47D3-B67F-A62EFF666E3E}">
          <x14:id>{86F24F55-6C44-4DE8-9E0E-CCB2CA387762}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DAD02F00-5BA0-49A8-A411-13B340EDC70F}">
            <xm:f>U$23=pivots!$A$52</xm:f>
            <x14:dxf>
              <fill>
                <patternFill>
                  <bgColor rgb="FFFFDF79"/>
                </patternFill>
              </fill>
              <border>
                <left style="thin">
                  <color theme="2" tint="-0.24994659260841701"/>
                </left>
                <right style="thin">
                  <color theme="2" tint="-0.24994659260841701"/>
                </right>
                <vertical/>
                <horizontal/>
              </border>
            </x14:dxf>
          </x14:cfRule>
          <xm:sqref>U23:Y41</xm:sqref>
        </x14:conditionalFormatting>
        <x14:conditionalFormatting xmlns:xm="http://schemas.microsoft.com/office/excel/2006/main">
          <x14:cfRule type="dataBar" id="{3B8A85F4-EF9C-4D16-84BD-275AB780FAE5}">
            <x14:dataBar minLength="0" maxLength="100" gradient="0">
              <x14:cfvo type="num">
                <xm:f>0</xm:f>
              </x14:cfvo>
              <x14:cfvo type="formula">
                <xm:f>MAX($U$24:$Y$41)*2</xm:f>
              </x14:cfvo>
              <x14:negativeFillColor rgb="FFFF0000"/>
              <x14:axisColor rgb="FF000000"/>
            </x14:dataBar>
          </x14:cfRule>
          <x14:cfRule type="dataBar" id="{86F24F55-6C44-4DE8-9E0E-CCB2CA387762}">
            <x14:dataBar minLength="0" maxLength="100" gradient="0">
              <x14:cfvo type="autoMin"/>
              <x14:cfvo type="autoMax"/>
              <x14:negativeFillColor rgb="FFFF0000"/>
              <x14:axisColor rgb="FF000000"/>
            </x14:dataBar>
          </x14:cfRule>
          <xm:sqref>U25:Y41</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abSelected="1" zoomScale="94" zoomScaleNormal="115" workbookViewId="0">
      <selection activeCell="G4" sqref="G4"/>
    </sheetView>
  </sheetViews>
  <sheetFormatPr defaultRowHeight="14.4" x14ac:dyDescent="0.3"/>
  <cols>
    <col min="5" max="5" width="10.8984375" customWidth="1"/>
    <col min="6" max="6" width="18.19921875" customWidth="1"/>
  </cols>
  <sheetData>
    <row r="2" spans="5:6" x14ac:dyDescent="0.3">
      <c r="E2" t="s">
        <v>1040</v>
      </c>
      <c r="F2" t="s">
        <v>1041</v>
      </c>
    </row>
    <row r="3" spans="5:6" ht="25.5" customHeight="1" x14ac:dyDescent="0.3">
      <c r="E3" t="s">
        <v>11</v>
      </c>
    </row>
    <row r="4" spans="5:6" ht="25.5" customHeight="1" x14ac:dyDescent="0.3">
      <c r="E4" t="s">
        <v>9</v>
      </c>
    </row>
    <row r="5" spans="5:6" ht="25.5" customHeight="1" x14ac:dyDescent="0.3">
      <c r="E5" t="s">
        <v>6</v>
      </c>
    </row>
    <row r="6" spans="5:6" ht="25.5" customHeight="1" x14ac:dyDescent="0.3">
      <c r="E6" t="s">
        <v>13</v>
      </c>
    </row>
    <row r="7" spans="5:6" ht="25.5" customHeight="1" x14ac:dyDescent="0.3">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Call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mehrin maple</cp:lastModifiedBy>
  <dcterms:created xsi:type="dcterms:W3CDTF">2021-03-14T20:21:32Z</dcterms:created>
  <dcterms:modified xsi:type="dcterms:W3CDTF">2025-12-22T18:53:39Z</dcterms:modified>
</cp:coreProperties>
</file>